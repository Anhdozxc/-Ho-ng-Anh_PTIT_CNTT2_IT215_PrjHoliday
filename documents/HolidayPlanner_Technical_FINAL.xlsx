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j_ExampleHoliday\Download\HolidayPlanner_Submission_FINAL\"/>
    </mc:Choice>
  </mc:AlternateContent>
  <xr:revisionPtr revIDLastSave="0" documentId="13_ncr:1_{FC6A2220-0D84-4A04-9AA6-70654BB9BEF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0. Roadmap" sheetId="1" r:id="rId1"/>
    <sheet name="1. Project Charter" sheetId="2" r:id="rId2"/>
    <sheet name="2. Summary Plan" sheetId="3" r:id="rId3"/>
    <sheet name="2. Price" sheetId="4" r:id="rId4"/>
    <sheet name="3. Master Plan" sheetId="5" r:id="rId5"/>
    <sheet name="4. Nhân sự dự án" sheetId="6" r:id="rId6"/>
    <sheet name="7. Cập nhật tiến độ" sheetId="7" r:id="rId7"/>
  </sheets>
  <definedNames>
    <definedName name="nextDate">#REF!</definedName>
    <definedName name="pEnd">#REF!</definedName>
    <definedName name="thisDate">#REF!</definedName>
    <definedName name="valuevx">42.314159</definedName>
    <definedName name="vertex42_copyright">"© 2017 Vertex42 LLC"</definedName>
    <definedName name="vertex42_id">"project-planner.xlsx"</definedName>
    <definedName name="vertex42_title">"Project Planner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7" l="1"/>
  <c r="K8" i="7"/>
  <c r="K7" i="7"/>
  <c r="K6" i="7"/>
  <c r="K5" i="7"/>
  <c r="H5" i="7"/>
  <c r="K4" i="7"/>
  <c r="H4" i="7"/>
  <c r="H3" i="7"/>
  <c r="H2" i="7"/>
  <c r="I29" i="5"/>
  <c r="I28" i="5"/>
  <c r="I27" i="5"/>
  <c r="I26" i="5"/>
  <c r="I25" i="5"/>
  <c r="I24" i="5"/>
  <c r="L23" i="5"/>
  <c r="I23" i="5"/>
  <c r="L22" i="5"/>
  <c r="I22" i="5"/>
  <c r="L21" i="5"/>
  <c r="I21" i="5"/>
  <c r="L20" i="5"/>
  <c r="I20" i="5"/>
  <c r="L19" i="5"/>
  <c r="I19" i="5"/>
  <c r="L18" i="5"/>
  <c r="I18" i="5"/>
  <c r="I17" i="5"/>
  <c r="I16" i="5"/>
  <c r="I15" i="5"/>
  <c r="I14" i="5"/>
  <c r="I13" i="5"/>
  <c r="I12" i="5"/>
  <c r="I11" i="5"/>
  <c r="I10" i="5"/>
  <c r="I9" i="5"/>
  <c r="I8" i="5"/>
  <c r="Y7" i="5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N5" i="5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E28" i="4"/>
  <c r="E32" i="4" s="1"/>
  <c r="G27" i="4"/>
  <c r="G26" i="4"/>
  <c r="G25" i="4"/>
  <c r="G24" i="4"/>
  <c r="G22" i="4"/>
  <c r="G21" i="4"/>
  <c r="G20" i="4"/>
  <c r="G19" i="4"/>
  <c r="G18" i="4"/>
  <c r="G17" i="4"/>
  <c r="G16" i="4"/>
  <c r="G14" i="4"/>
  <c r="G13" i="4"/>
  <c r="G12" i="4"/>
  <c r="G10" i="4"/>
  <c r="G9" i="4"/>
  <c r="G8" i="4"/>
  <c r="G7" i="4"/>
  <c r="G28" i="4" s="1"/>
  <c r="K6" i="4"/>
  <c r="K5" i="4"/>
  <c r="K4" i="4"/>
  <c r="K3" i="4"/>
  <c r="Z5" i="5" l="1"/>
  <c r="Y6" i="5"/>
  <c r="H7" i="4"/>
  <c r="H9" i="4"/>
  <c r="H12" i="4"/>
  <c r="H14" i="4"/>
  <c r="H19" i="4"/>
  <c r="H24" i="4"/>
  <c r="H26" i="4"/>
  <c r="H17" i="4"/>
  <c r="H21" i="4"/>
  <c r="H8" i="4"/>
  <c r="H10" i="4"/>
  <c r="H13" i="4"/>
  <c r="H16" i="4"/>
  <c r="H18" i="4"/>
  <c r="H20" i="4"/>
  <c r="H22" i="4"/>
  <c r="H25" i="4"/>
  <c r="H27" i="4"/>
  <c r="H28" i="4" l="1"/>
  <c r="Z6" i="5"/>
  <c r="AA5" i="5"/>
  <c r="AA6" i="5" l="1"/>
  <c r="AB5" i="5"/>
  <c r="AB6" i="5" l="1"/>
  <c r="AC5" i="5"/>
  <c r="AC6" i="5" l="1"/>
  <c r="AD5" i="5"/>
  <c r="AD6" i="5" l="1"/>
  <c r="AE5" i="5"/>
  <c r="AF5" i="5" l="1"/>
  <c r="AE6" i="5"/>
  <c r="AF6" i="5" l="1"/>
  <c r="AG5" i="5"/>
  <c r="AH5" i="5" l="1"/>
  <c r="AG6" i="5"/>
  <c r="AH6" i="5" l="1"/>
  <c r="AI5" i="5"/>
  <c r="AI6" i="5" l="1"/>
  <c r="AJ5" i="5"/>
  <c r="AJ6" i="5" l="1"/>
  <c r="AK5" i="5"/>
  <c r="AK6" i="5" l="1"/>
  <c r="AL5" i="5"/>
  <c r="AL6" i="5" l="1"/>
  <c r="AM5" i="5"/>
  <c r="AN5" i="5" l="1"/>
  <c r="AM6" i="5"/>
  <c r="AN6" i="5" l="1"/>
  <c r="AO5" i="5"/>
  <c r="AP5" i="5" l="1"/>
  <c r="AO6" i="5"/>
  <c r="AP6" i="5" l="1"/>
  <c r="AQ5" i="5"/>
  <c r="AQ6" i="5" l="1"/>
  <c r="AR5" i="5"/>
  <c r="AR6" i="5" l="1"/>
  <c r="AS5" i="5"/>
  <c r="AS6" i="5" l="1"/>
  <c r="AT5" i="5"/>
  <c r="AT6" i="5" l="1"/>
  <c r="AU5" i="5"/>
  <c r="AV5" i="5" l="1"/>
  <c r="AU6" i="5"/>
  <c r="AV6" i="5" l="1"/>
  <c r="AW5" i="5"/>
  <c r="AX5" i="5" l="1"/>
  <c r="AW6" i="5"/>
  <c r="AX6" i="5" l="1"/>
  <c r="AY5" i="5"/>
  <c r="AY6" i="5" l="1"/>
  <c r="AZ5" i="5"/>
  <c r="AZ6" i="5" l="1"/>
  <c r="BA5" i="5"/>
  <c r="BB5" i="5" l="1"/>
  <c r="BA6" i="5"/>
  <c r="BB6" i="5" l="1"/>
  <c r="BC5" i="5"/>
  <c r="BD5" i="5" l="1"/>
  <c r="BC6" i="5"/>
  <c r="BD6" i="5" l="1"/>
  <c r="BE5" i="5"/>
  <c r="BE6" i="5" l="1"/>
  <c r="BF5" i="5"/>
  <c r="BF6" i="5" l="1"/>
  <c r="BG5" i="5"/>
  <c r="BG6" i="5" l="1"/>
  <c r="BH5" i="5"/>
  <c r="BH6" i="5" l="1"/>
  <c r="BI5" i="5"/>
  <c r="BJ5" i="5" l="1"/>
  <c r="BI6" i="5"/>
  <c r="BJ6" i="5" l="1"/>
  <c r="BK5" i="5"/>
  <c r="BK6" i="5" l="1"/>
  <c r="BL5" i="5"/>
  <c r="BL6" i="5" l="1"/>
  <c r="BM5" i="5"/>
  <c r="BM6" i="5" l="1"/>
  <c r="BN5" i="5"/>
  <c r="BO5" i="5" l="1"/>
  <c r="BO6" i="5" s="1"/>
  <c r="BN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6" authorId="0" shapeId="0" xr:uid="{00000000-0006-0000-0200-000001000000}">
      <text>
        <r>
          <rPr>
            <sz val="11"/>
            <color theme="1"/>
            <rFont val="Arial"/>
          </rPr>
          <t>======
ID#AAAB9OWCrbg
theanh    (2026-06-29 02:38:24)
Lưu ý tính thêm các ngày nghỉ, CN
Số ngày thêm là 14 CN</t>
        </r>
      </text>
    </comment>
  </commentList>
</comments>
</file>

<file path=xl/sharedStrings.xml><?xml version="1.0" encoding="utf-8"?>
<sst xmlns="http://schemas.openxmlformats.org/spreadsheetml/2006/main" count="679" uniqueCount="417">
  <si>
    <t>[42]</t>
  </si>
  <si>
    <t>Thứ 7</t>
  </si>
  <si>
    <t>Chủ nhật</t>
  </si>
  <si>
    <t>■</t>
  </si>
  <si>
    <t>D</t>
  </si>
  <si>
    <t>ROADMAP DỰ ÁN HOLIDAY PLANNER - 08/07/2026 ĐẾN 17/07/2026</t>
  </si>
  <si>
    <t>Nhóm dự án</t>
  </si>
  <si>
    <t>05 thành viên</t>
  </si>
  <si>
    <t>Trạng thái</t>
  </si>
  <si>
    <t>DONE 100%</t>
  </si>
  <si>
    <t>Ngày dự phòng FE</t>
  </si>
  <si>
    <t>17/07/2026</t>
  </si>
  <si>
    <t>Cuối tuần</t>
  </si>
  <si>
    <t>11-12/07 KHÔNG LÀM</t>
  </si>
  <si>
    <t>Ký hiệu</t>
  </si>
  <si>
    <t>● thực hiện / ✓ hoàn thành / D dự phòng</t>
  </si>
  <si>
    <t>Mã</t>
  </si>
  <si>
    <t>Hạng mục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</si>
  <si>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</si>
  <si>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</si>
  <si>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</si>
  <si>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</si>
  <si>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</si>
  <si>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</si>
  <si>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</si>
  <si>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</si>
  <si>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</si>
  <si>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</si>
  <si>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</t>
  </si>
  <si>
    <t>Khởi tạo, scope và SRS</t>
  </si>
  <si>
    <t>✓</t>
  </si>
  <si>
    <t>NGHỈ</t>
  </si>
  <si>
    <t>2</t>
  </si>
  <si>
    <t>Technical, Price, Calendar</t>
  </si>
  <si>
    <t>3</t>
  </si>
  <si>
    <t>Test strategy/test case sớm</t>
  </si>
  <si>
    <t>4</t>
  </si>
  <si>
    <t>Kiến trúc, ERD, UI/UX, setup</t>
  </si>
  <si>
    <t>5</t>
  </si>
  <si>
    <t>Auth + Trip CRUD</t>
  </si>
  <si>
    <t>6</t>
  </si>
  <si>
    <t>Itinerary + BookingNote</t>
  </si>
  <si>
    <t>7</t>
  </si>
  <si>
    <t>Expense + Checklist</t>
  </si>
  <si>
    <t>8</t>
  </si>
  <si>
    <t>9</t>
  </si>
  <si>
    <t>Integration, regression, fix bug</t>
  </si>
  <si>
    <t>10</t>
  </si>
  <si>
    <t>Dự phòng Frontend / responsive</t>
  </si>
  <si>
    <t>11</t>
  </si>
  <si>
    <t>README, Postman, Report, demo</t>
  </si>
  <si>
    <t>12</t>
  </si>
  <si>
    <t>Nghiệm thu và đóng gói FINAL</t>
  </si>
  <si>
    <t>PROJECT CHARTER - HOLIDAY PLANNER</t>
  </si>
  <si>
    <t>Tên dự án:</t>
  </si>
  <si>
    <t>HOLIDAY PLANNER - Hệ thống quản lý kế hoạch du lịch cá nhân</t>
  </si>
  <si>
    <t>Đơn vị yêu cầu:</t>
  </si>
  <si>
    <t>Nhóm dự án Holiday Planner / Môn Example Project Holiday</t>
  </si>
  <si>
    <t>Ban chỉ đạo dự án:</t>
  </si>
  <si>
    <t>Giảng viên phụ trách học phần</t>
  </si>
  <si>
    <t>Giám đốc dự án:</t>
  </si>
  <si>
    <t>Đỗ Hoàng Anh</t>
  </si>
  <si>
    <t>Quản trị dự án:</t>
  </si>
  <si>
    <t>Đơn vị triển khai:</t>
  </si>
  <si>
    <t>Nhóm Holiday Planner (05 thành viên)</t>
  </si>
  <si>
    <t>Ngày bắt đầu:</t>
  </si>
  <si>
    <t>Ngày kết thúc:</t>
  </si>
  <si>
    <t>Mục tiêu dự án cần đạt được:</t>
  </si>
  <si>
    <t>Xây dựng hệ thống web hoàn chỉnh cho phép đăng ký/đăng nhập, quản lý kế hoạch chuyến đi, lịch trình, chi phí, checklist, ghi chú đặt dịch vụ, dashboard và quản trị điểm đến; có phân quyền, validate, API Postman và MySQL.</t>
  </si>
  <si>
    <t>Phạm vi dự án:</t>
  </si>
  <si>
    <t>Frontend Thymeleaf + Bootstrap; Backend Java Spring Boot; MySQL; REST API; Spring Security; kiểm thử chức năng và API.</t>
  </si>
  <si>
    <t>Phạm vi ngoài dự án:</t>
  </si>
  <si>
    <t>Không thanh toán thật; không tích hợp API đặt vé/khách sạn/bản đồ thời gian thực; không phát triển mobile app riêng.</t>
  </si>
  <si>
    <t>Kinh phí triển khai:</t>
  </si>
  <si>
    <t>Kịch bản 38,5 manday trên tổng năng lực 40 manday (5 người x 8 ngày làm việc). Chi phí mô phỏng chi tiết tại sheet 2. Price.</t>
  </si>
  <si>
    <t>Nhóm Holiday Planner</t>
  </si>
  <si>
    <t>Kết quả/sản phẩm cần có:</t>
  </si>
  <si>
    <t>1) SRS phiên bản 1.0; 2) Technical/Price/Master Plan; 3) Source code ZIP mở trực tiếp bằng IntelliJ; 4) MySQL + Postman collection; 5) Calendar; 6) Báo cáo bài tập lớn; 7) README và dữ liệu demo.</t>
  </si>
  <si>
    <t>Tiêu chí nghiệm thu:</t>
  </si>
  <si>
    <t>Các luồng chính hoạt động; phân quyền đúng; dữ liệu người dùng cô lập; validate FE/BE; API test đạt; không còn lỗi Critical/High; tài liệu và hướng dẫn chạy đầy đủ.</t>
  </si>
  <si>
    <t>KẾ HOẠCH TỔNG THỂ DỰ ÁN HOLIDAY PLANNER</t>
  </si>
  <si>
    <t>Thời gian</t>
  </si>
  <si>
    <t>08/07/2026 - 17/07/2026</t>
  </si>
  <si>
    <t>Quy mô nhóm</t>
  </si>
  <si>
    <t>Ngày làm việc</t>
  </si>
  <si>
    <t>08, 09, 10, 13, 14, 15, 16, 17/07</t>
  </si>
  <si>
    <t>Ngày không làm</t>
  </si>
  <si>
    <t>11-12/07/2026</t>
  </si>
  <si>
    <t>Nguyên tắc</t>
  </si>
  <si>
    <t>Tester tham gia từ đầu; mỗi chức năng có Backend + Frontend + QA; bug được cập nhật ngược vào tiến độ.</t>
  </si>
  <si>
    <t>Giai đoạn / Mốc</t>
  </si>
  <si>
    <t>Bắt đầu</t>
  </si>
  <si>
    <t>Kết thúc</t>
  </si>
  <si>
    <t>Phụ trách</t>
  </si>
  <si>
    <t>Phối hợp</t>
  </si>
  <si>
    <t>Kết quả đầu ra</t>
  </si>
  <si>
    <t>M1</t>
  </si>
  <si>
    <t>Khởi tạo và chốt phạm vi</t>
  </si>
  <si>
    <t>Toàn nhóm</t>
  </si>
  <si>
    <t>Charter, scope, acceptance criteria</t>
  </si>
  <si>
    <t>Completed</t>
  </si>
  <si>
    <t>M2</t>
  </si>
  <si>
    <t>Review và hoàn thiện SRS 1.0</t>
  </si>
  <si>
    <t>Lê Quốc Bảo</t>
  </si>
  <si>
    <t>SRS nhất quán với code và test</t>
  </si>
  <si>
    <t>M3</t>
  </si>
  <si>
    <t>Technical, Price, Calendar và test strategy</t>
  </si>
  <si>
    <t>Phạm Thu Trang</t>
  </si>
  <si>
    <t>Đỗ Hoàng Anh, Lê Quốc Bảo</t>
  </si>
  <si>
    <t>Kế hoạch chi tiết, effort/cost, test case</t>
  </si>
  <si>
    <t>M4</t>
  </si>
  <si>
    <t>Kiến trúc, ERD, UI/UX và setup</t>
  </si>
  <si>
    <t>Nguyễn Minh Quân, Trần Khánh Linh</t>
  </si>
  <si>
    <t>Project nền, MySQL, Security, design system</t>
  </si>
  <si>
    <t>M5</t>
  </si>
  <si>
    <t>Auth và Trip Plan CRUD</t>
  </si>
  <si>
    <t>Đăng ký/đăng nhập, CRUD chuyến đi</t>
  </si>
  <si>
    <t>M6</t>
  </si>
  <si>
    <t>Itinerary, Booking, Expense, Checklist</t>
  </si>
  <si>
    <t>Nguyễn Minh Quân</t>
  </si>
  <si>
    <t>Trần Khánh Linh, Lê Quốc Bảo</t>
  </si>
  <si>
    <t>4 module nghiệp vụ + validate</t>
  </si>
  <si>
    <t>M7</t>
  </si>
  <si>
    <t>Dashboard và Admin Destination</t>
  </si>
  <si>
    <t>Trần Khánh Linh</t>
  </si>
  <si>
    <t>KPI dashboard, quản trị điểm đến</t>
  </si>
  <si>
    <t>M8</t>
  </si>
  <si>
    <t>Integration, regression và buffer Frontend</t>
  </si>
  <si>
    <t>Không còn lỗi Critical/High; UI responsive</t>
  </si>
  <si>
    <t>M9</t>
  </si>
  <si>
    <t>Báo cáo, demo và nghiệm thu</t>
  </si>
  <si>
    <t>ZIP code, Postman, Calendar, Report</t>
  </si>
  <si>
    <t>MỐC NGHIỆM THU</t>
  </si>
  <si>
    <t>Tài liệu SRS/Technical đồng nhất với chức năng triển khai</t>
  </si>
  <si>
    <t>PASS</t>
  </si>
  <si>
    <t>Code mở được bằng IntelliJ, kết nối MySQL root/123456</t>
  </si>
  <si>
    <t>Phân quyền USER/ADMIN, ownership và validation hoạt động</t>
  </si>
  <si>
    <t>Postman smoke test và test case chính đạt; tài liệu demo đầy đủ</t>
  </si>
  <si>
    <t>BẢNG ƯỚC TÍNH GIÁ TRỊ CÔNG VIỆC - HOLIDAY PLANNER</t>
  </si>
  <si>
    <t>Đơn vị</t>
  </si>
  <si>
    <t>Từ ngày</t>
  </si>
  <si>
    <t>Giai đoạn</t>
  </si>
  <si>
    <t>Effort (MD)</t>
  </si>
  <si>
    <t>Khách hàng</t>
  </si>
  <si>
    <t>Người dùng cá nhân / Học phần</t>
  </si>
  <si>
    <t>Đến ngày</t>
  </si>
  <si>
    <t>Phân tích/Tài liệu</t>
  </si>
  <si>
    <t>Quy ước</t>
  </si>
  <si>
    <t>1 manday = 8 giờ; đơn giá mô phỏng 750.000 VNĐ/manday</t>
  </si>
  <si>
    <t>Năng lực tối đa</t>
  </si>
  <si>
    <t>MD</t>
  </si>
  <si>
    <t>Thiết kế/Setup</t>
  </si>
  <si>
    <t>STT</t>
  </si>
  <si>
    <t>Nội dung công việc</t>
  </si>
  <si>
    <t>Ghi chú / Deliverable</t>
  </si>
  <si>
    <t>Thời lượng (ngày)</t>
  </si>
  <si>
    <t>Đơn giá/MD</t>
  </si>
  <si>
    <t>Thành tiền</t>
  </si>
  <si>
    <t>Trọng số</t>
  </si>
  <si>
    <t>Phát triển</t>
  </si>
  <si>
    <t>I</t>
  </si>
  <si>
    <t>PHÂN TÍCH, QUẢN LÝ VÀ TÀI LIỆU</t>
  </si>
  <si>
    <t>Test/Hoàn thiện</t>
  </si>
  <si>
    <t>Kickoff, chốt phạm vi và phân công</t>
  </si>
  <si>
    <t>Project Charter, phạm vi, tiêu chí nghiệm thu</t>
  </si>
  <si>
    <t>Đặc tả đủ UC, dữ liệu, RBAC, validation</t>
  </si>
  <si>
    <t>Hoàn thiện Technical và Calendar</t>
  </si>
  <si>
    <t>Roadmap, Price, Master Plan, nhân sự, tiến độ</t>
  </si>
  <si>
    <t>Lập test strategy và test case sớm</t>
  </si>
  <si>
    <t>Test case Auth, Trip, module con, RBAC</t>
  </si>
  <si>
    <t>II</t>
  </si>
  <si>
    <t>PHÂN TÍCH THIẾT KẾ VÀ SETUP</t>
  </si>
  <si>
    <t>Kiến trúc, ERD và quy tắc nghiệp vụ</t>
  </si>
  <si>
    <t>Kiến trúc 3 lớp, ERD, ownership, soft delete</t>
  </si>
  <si>
    <t>Wireframe và design system</t>
  </si>
  <si>
    <t>Luồng UI, component, responsive</t>
  </si>
  <si>
    <t>Setup Spring Boot, MySQL, Security, Postman</t>
  </si>
  <si>
    <t>Project chạy được, seed data, cấu hình môi trường</t>
  </si>
  <si>
    <t>III</t>
  </si>
  <si>
    <t>PHÁT TRIỂN CHỨC NĂNG</t>
  </si>
  <si>
    <t>Auth/Profile Backend</t>
  </si>
  <si>
    <t>Đăng ký, đăng nhập, mã hóa mật khẩu, RBAC</t>
  </si>
  <si>
    <t>Auth/Profile Frontend</t>
  </si>
  <si>
    <t>Trang login/register, validate và thông báo</t>
  </si>
  <si>
    <t>Trip Plan CRUD Backend</t>
  </si>
  <si>
    <t>CRUD, ownership, trạng thái, soft delete</t>
  </si>
  <si>
    <t>Trip Plan CRUD Frontend</t>
  </si>
  <si>
    <t>Danh sách, form, chi tiết, lọc trạng thái</t>
  </si>
  <si>
    <t>Itinerary &amp; Booking Note</t>
  </si>
  <si>
    <t>Backend + Frontend + validation thời gian</t>
  </si>
  <si>
    <t>Expense &amp; Checklist</t>
  </si>
  <si>
    <t>Backend + Frontend + tính tổng/cảnh báo ngân sách</t>
  </si>
  <si>
    <t>Thống kê, điểm đến, phân quyền admin</t>
  </si>
  <si>
    <t>IV</t>
  </si>
  <si>
    <t>KIỂM THỬ, DỰ PHÒNG VÀ HOÀN THIỆN</t>
  </si>
  <si>
    <t>Kiểm thử liên tục &amp; Postman</t>
  </si>
  <si>
    <t>API/manual test từ đầu vòng đời</t>
  </si>
  <si>
    <t>Integration test, bug fix, regression</t>
  </si>
  <si>
    <t>Không còn lỗi Critical/High</t>
  </si>
  <si>
    <t>Ngày dự phòng Frontend</t>
  </si>
  <si>
    <t>17/07: responsive, validate, polish UI</t>
  </si>
  <si>
    <t>README, báo cáo, demo và đóng gói</t>
  </si>
  <si>
    <t>Tài liệu chạy, dữ liệu demo, báo cáo bảo vệ</t>
  </si>
  <si>
    <t>TỔNG CỘNG</t>
  </si>
  <si>
    <t>GHI CHÚ</t>
  </si>
  <si>
    <t>Năng lực lý thuyết</t>
  </si>
  <si>
    <t>5 thành viên x 8 ngày làm việc</t>
  </si>
  <si>
    <t>Mức sử dụng nguồn lực</t>
  </si>
  <si>
    <t>Effort / Năng lực</t>
  </si>
  <si>
    <t>11/07/2026 (Thứ 7), 12/07/2026 (Chủ nhật)</t>
  </si>
  <si>
    <t>DỰ ÁN HOLIDAY PLANNER</t>
  </si>
  <si>
    <t>Đơn vị: Nhóm Holiday Planner (05 thành viên)</t>
  </si>
  <si>
    <t>Người lập: Đỗ Hoàng Anh - Project Manager</t>
  </si>
  <si>
    <t>Project Start: 08/07/2026</t>
  </si>
  <si>
    <t>Display: Daily</t>
  </si>
  <si>
    <t>Daily</t>
  </si>
  <si>
    <t>Display Period: 1 ngày</t>
  </si>
  <si>
    <t>Thứ 4</t>
  </si>
  <si>
    <t>Thứ 5</t>
  </si>
  <si>
    <t>Thứ 6</t>
  </si>
  <si>
    <t>Thứ 7
KHÔNG LÀM</t>
  </si>
  <si>
    <t>Chủ nhật
KHÔNG LÀM</t>
  </si>
  <si>
    <t>Thứ 2</t>
  </si>
  <si>
    <t>Thứ 3</t>
  </si>
  <si>
    <t>Công việc</t>
  </si>
  <si>
    <t>Tóm tắt nội dung</t>
  </si>
  <si>
    <t>Tiến độ</t>
  </si>
  <si>
    <t>KH bắt đầu</t>
  </si>
  <si>
    <t>KH kết thúc</t>
  </si>
  <si>
    <t>Số ngày</t>
  </si>
  <si>
    <t>TT bắt đầu</t>
  </si>
  <si>
    <t>TT kết thúc</t>
  </si>
  <si>
    <t>TT số ngày</t>
  </si>
  <si>
    <t>KHỞI TẠO, SRS, TECHNICAL VÀ KIỂM THỬ SỚM</t>
  </si>
  <si>
    <t>Tài liệu nền tảng và kế hoạch quản lý</t>
  </si>
  <si>
    <t>Kickoff, chốt phạm vi và tiêu chí nghiệm thu</t>
  </si>
  <si>
    <t>Chốt 8 use case lõi + BookingNote, công nghệ, deliverable</t>
  </si>
  <si>
    <t>Review và hoàn thiện SRS phiên bản 1.0</t>
  </si>
  <si>
    <t>Chuẩn hóa phạm vi, RBAC, validation, NFR, ma trận truy vết</t>
  </si>
  <si>
    <t>Hoàn thiện Technical, Price và Calendar</t>
  </si>
  <si>
    <t>Phân task theo người/ngày, effort, cost, tiến độ, ngày dự phòng FE</t>
  </si>
  <si>
    <t>Auth, ownership, CRUD, validation, role Admin/User</t>
  </si>
  <si>
    <t>Kiến trúc, dữ liệu, UI và môi trường</t>
  </si>
  <si>
    <t>Thiết kế kiến trúc, ERD và quy tắc nghiệp vụ</t>
  </si>
  <si>
    <t>Layered architecture, ownership, soft delete, trạng thái trip</t>
  </si>
  <si>
    <t>Bố cục dashboard/trip/detail/admin, màu sắc, responsive</t>
  </si>
  <si>
    <t>Setup Spring Boot, MySQL, Security và Postman</t>
  </si>
  <si>
    <t>Cấu trúc project, cấu hình root/123456, seed account, collection</t>
  </si>
  <si>
    <t>Backend, Frontend và kiểm thử theo module</t>
  </si>
  <si>
    <t>Auth/Profile - Backend</t>
  </si>
  <si>
    <t>Đăng ký, mã hóa BCrypt, login, RBAC, xử lý tài khoản khóa</t>
  </si>
  <si>
    <t>Auth/Profile - Frontend</t>
  </si>
  <si>
    <t>Login/register, validate, lỗi rõ ràng, điều hướng theo role</t>
  </si>
  <si>
    <t>Trip Plan CRUD - Backend</t>
  </si>
  <si>
    <t>CRUD, quyền sở hữu, soft delete, trạng thái, lọc dữ liệu</t>
  </si>
  <si>
    <t>Trip Plan CRUD - Frontend</t>
  </si>
  <si>
    <t>Danh sách, form, chi tiết, badge trạng thái, cảnh báo ngân sách</t>
  </si>
  <si>
    <t>Itinerary &amp; BookingNote - Backend</t>
  </si>
  <si>
    <t>Validation ngày/giờ, CRUD item lịch trình và ghi chú đặt dịch vụ</t>
  </si>
  <si>
    <t>Itinerary &amp; BookingNote - Frontend</t>
  </si>
  <si>
    <t>Timeline, form thêm/xóa, hiển thị booking code và chi phí</t>
  </si>
  <si>
    <t>Expense &amp; Checklist - Backend</t>
  </si>
  <si>
    <t>Tổng chi, phần trăm ngân sách, category, toggle checklist</t>
  </si>
  <si>
    <t>Expense &amp; Checklist - Frontend</t>
  </si>
  <si>
    <t>Bảng chi phí, progress budget, checklist interactive</t>
  </si>
  <si>
    <t>KPI, thống kê, CRUD điểm đến, role ADMIN</t>
  </si>
  <si>
    <t>Dashboard cards, chuyến sắp tới, admin table và form</t>
  </si>
  <si>
    <t>KIỂM THỬ, DỰ PHÒNG, TÀI LIỆU VÀ NGHIỆM THU</t>
  </si>
  <si>
    <t>Test liên tục, buffer FE, báo cáo và demo</t>
  </si>
  <si>
    <t>API/manual test liên tục sau từng module</t>
  </si>
  <si>
    <t>Postman + UI; ghi bug và test lại ngay trong vòng đời</t>
  </si>
  <si>
    <t>Backend/Frontend phụ trách module</t>
  </si>
  <si>
    <t>Integration test, security và regression</t>
  </si>
  <si>
    <t>Kiểm tra ownership, role, validate, lỗi 4xx/5xx, hồi quy</t>
  </si>
  <si>
    <t>Đỗ Hoàng Anh, Nguyễn Minh Quân</t>
  </si>
  <si>
    <t>Ngày dự phòng Frontend / responsive</t>
  </si>
  <si>
    <t>Sửa giao diện, thông báo, validation form, mobile; không thêm scope mới</t>
  </si>
  <si>
    <t>README, Postman, SQL và hướng dẫn demo</t>
  </si>
  <si>
    <t>Đóng gói code, tài khoản mẫu, quy trình import/chạy</t>
  </si>
  <si>
    <t>Nguyễn Minh Quân, Lê Quốc Bảo</t>
  </si>
  <si>
    <t>Báo cáo bài tập lớn và kịch bản bảo vệ</t>
  </si>
  <si>
    <t>Báo cáo kiến trúc, chức năng, test, kết quả và phân công</t>
  </si>
  <si>
    <t>Nghiệm thu nội bộ và đóng gói FINAL</t>
  </si>
  <si>
    <t>Chạy smoke test, kiểm tra file, xác nhận tiêu chí nghiệm thu</t>
  </si>
  <si>
    <t>CHÚ THÍCH KẾ HOẠCH</t>
  </si>
  <si>
    <t>Hoàn thành 100%</t>
  </si>
  <si>
    <t>P/Q</t>
  </si>
  <si>
    <t>11-12/07 là cuối tuần - không giao task, không dùng làm dự phòng</t>
  </si>
  <si>
    <t>Quy tắc</t>
  </si>
  <si>
    <t>Mỗi chức năng có Backend + Frontend + QA; bug phải được cập nhật lại ngày hoàn thành tại sheet tiến độ.</t>
  </si>
  <si>
    <t>DANH SÁCH NHÂN SỰ THAM GIA DỰ ÁN</t>
  </si>
  <si>
    <t>Họ tên</t>
  </si>
  <si>
    <t>Vai trò chính</t>
  </si>
  <si>
    <t>Vai trò trong dự án</t>
  </si>
  <si>
    <t>Nhiệm vụ trọng tâm</t>
  </si>
  <si>
    <t>Năng lực (MD)</t>
  </si>
  <si>
    <t>Email dự án</t>
  </si>
  <si>
    <t>Ghi chú</t>
  </si>
  <si>
    <t>Nhóm trưởng / PM / BA</t>
  </si>
  <si>
    <t>PM, BA, Backend Lead</t>
  </si>
  <si>
    <t>Chốt phạm vi, SRS, kiến trúc, Auth/Trip, tích hợp và nghiệm thu</t>
  </si>
  <si>
    <t>dohoanganh@holidayplanner.local</t>
  </si>
  <si>
    <t>Chịu trách nhiệm tổng thể</t>
  </si>
  <si>
    <t>Backend Developer</t>
  </si>
  <si>
    <t>Java/Spring Boot Developer</t>
  </si>
  <si>
    <t>CSDL, Itinerary, BookingNote, Expense, Checklist, Dashboard API</t>
  </si>
  <si>
    <t>minhquan@holidayplanner.local</t>
  </si>
  <si>
    <t>Phụ trách backend module</t>
  </si>
  <si>
    <t>Frontend Developer</t>
  </si>
  <si>
    <t>Thymeleaf/Bootstrap Developer</t>
  </si>
  <si>
    <t>Design system, form, trang Trip, module chi tiết, responsive và ngày dự phòng FE</t>
  </si>
  <si>
    <t>khanhlinh@holidayplanner.local</t>
  </si>
  <si>
    <t>Phụ trách frontend</t>
  </si>
  <si>
    <t>QA/Test Engineer</t>
  </si>
  <si>
    <t>QA, API Tester</t>
  </si>
  <si>
    <t>Test plan sớm, test case, Postman, regression, bug tracking</t>
  </si>
  <si>
    <t>quocbao@holidayplanner.local</t>
  </si>
  <si>
    <t>Tester tham gia từ 08/07</t>
  </si>
  <si>
    <t>UI/UX &amp; Technical Writer</t>
  </si>
  <si>
    <t>UI/UX, Documentation</t>
  </si>
  <si>
    <t>Wireframe, hỗ trợ giao diện, Technical, README, báo cáo và kịch bản demo</t>
  </si>
  <si>
    <t>thutrang@holidayplanner.local</t>
  </si>
  <si>
    <t>Phụ trách tài liệu</t>
  </si>
  <si>
    <t>TỔNG NĂNG LỰC</t>
  </si>
  <si>
    <t>NGUYÊN TẮC PHÂN CÔNG</t>
  </si>
  <si>
    <t>Mỗi chức năng đều có Backend, Frontend và QA; tester tham gia sớm; 17/07 là ngày dự phòng Frontend đồng thời regression cuối.</t>
  </si>
  <si>
    <t>THỜI GIAN</t>
  </si>
  <si>
    <t>08/07/2026 - 17/07/2026; không làm ngày Thứ 7 (11/07) và Chủ nhật (12/07).</t>
  </si>
  <si>
    <t>ACTION TRACKING / NHẬT KÝ TIẾN ĐỘ - HOLIDAY PLANNER</t>
  </si>
  <si>
    <t>Project Manager</t>
  </si>
  <si>
    <t>Ngày cập nhật</t>
  </si>
  <si>
    <t>Hoàn thành</t>
  </si>
  <si>
    <t>Workstream Lead</t>
  </si>
  <si>
    <t>In Progress</t>
  </si>
  <si>
    <t>Đang diễn ra</t>
  </si>
  <si>
    <t>Nhân sự</t>
  </si>
  <si>
    <t>Not Started</t>
  </si>
  <si>
    <t>Chưa bắt đầu</t>
  </si>
  <si>
    <t>Tình trạng</t>
  </si>
  <si>
    <t>DONE 100% - không còn lỗi Critical/High</t>
  </si>
  <si>
    <t>Revised due date</t>
  </si>
  <si>
    <t>Task có Revised Due Date</t>
  </si>
  <si>
    <t>No.</t>
  </si>
  <si>
    <t>Nguồn</t>
  </si>
  <si>
    <t>Workstream</t>
  </si>
  <si>
    <t>Chủ đề</t>
  </si>
  <si>
    <t>Nội dung / Kết quả</t>
  </si>
  <si>
    <t>Due date</t>
  </si>
  <si>
    <t>Owner</t>
  </si>
  <si>
    <t>Kickoff</t>
  </si>
  <si>
    <t>PM/BA</t>
  </si>
  <si>
    <t>Chốt phạm vi</t>
  </si>
  <si>
    <t>Chốt phạm vi, 5 thành viên, công nghệ Java Spring Boot + Thymeleaf + MySQL</t>
  </si>
  <si>
    <t>SRS</t>
  </si>
  <si>
    <t>BA</t>
  </si>
  <si>
    <t>Review SRS</t>
  </si>
  <si>
    <t>Phát hiện lệch mốc 19/07 và thiếu BookingNote/traceability; cập nhật SRS 1.0</t>
  </si>
  <si>
    <t>QA</t>
  </si>
  <si>
    <t>Testing</t>
  </si>
  <si>
    <t>Test tham gia sớm</t>
  </si>
  <si>
    <t>Lập test strategy, test case Auth/Trip/RBAC/validation trước khi code</t>
  </si>
  <si>
    <t>Tester tham gia từ ngày đầu</t>
  </si>
  <si>
    <t>Technical</t>
  </si>
  <si>
    <t>PM</t>
  </si>
  <si>
    <t>Technical/Price/Calendar</t>
  </si>
  <si>
    <t>Hoàn thiện phân công theo người/ngày, effort 38,5 MD và lịch không làm cuối tuần</t>
  </si>
  <si>
    <t>Đạt</t>
  </si>
  <si>
    <t>Development</t>
  </si>
  <si>
    <t>Setup</t>
  </si>
  <si>
    <t>Project foundation</t>
  </si>
  <si>
    <t>Spring Boot, Security, JPA, MySQL, seed data, Postman collection</t>
  </si>
  <si>
    <t>Build nền tảng</t>
  </si>
  <si>
    <t>Auth</t>
  </si>
  <si>
    <t>Auth BE/FE</t>
  </si>
  <si>
    <t>Đăng ký, login, BCrypt, role USER/ADMIN, validate form</t>
  </si>
  <si>
    <t>Đỗ Hoàng Anh / Trần Khánh Linh</t>
  </si>
  <si>
    <t>QA pass</t>
  </si>
  <si>
    <t>Trip CRUD</t>
  </si>
  <si>
    <t>BUG-01 Ownership</t>
  </si>
  <si>
    <t>API update trip ban đầu thiếu kiểm tra owner trong một nhánh xử lý</t>
  </si>
  <si>
    <t>Đã sửa service, regression PASS</t>
  </si>
  <si>
    <t>Trip BE/FE</t>
  </si>
  <si>
    <t>CRUD, soft delete, status, list/detail/form, quyền dữ liệu cá nhân</t>
  </si>
  <si>
    <t>Tiến độ task cập nhật theo bug</t>
  </si>
  <si>
    <t>Itinerary/Booking</t>
  </si>
  <si>
    <t>Module lịch trình &amp; booking</t>
  </si>
  <si>
    <t>Validation ngày/giờ, CRUD timeline, ghi chú đặt dịch vụ</t>
  </si>
  <si>
    <t>Nguyễn Minh Quân / Trần Khánh Linh</t>
  </si>
  <si>
    <t>QA PASS</t>
  </si>
  <si>
    <t>Expense</t>
  </si>
  <si>
    <t>BUG-02 Amount scale</t>
  </si>
  <si>
    <t>Số tiền có nhiều hơn 2 chữ số thập phân làm hiển thị không đồng nhất</t>
  </si>
  <si>
    <t>Chuẩn hóa BigDecimal scale, PASS</t>
  </si>
  <si>
    <t>Expense/Checklist</t>
  </si>
  <si>
    <t>Module chi phí &amp; checklist</t>
  </si>
  <si>
    <t>Tính tổng, cảnh báo ngân sách, toggle checklist, validation</t>
  </si>
  <si>
    <t>Dashboard/Admin</t>
  </si>
  <si>
    <t>Dashboard và điểm đến</t>
  </si>
  <si>
    <t>KPI, chuyến sắp tới, CRUD điểm đến, role ADMIN</t>
  </si>
  <si>
    <t>Frontend</t>
  </si>
  <si>
    <t>BUG-03 Date validation</t>
  </si>
  <si>
    <t>Form tạo trip chưa hiển thị rõ lỗi ngày kết thúc nhỏ hơn ngày bắt đầu</t>
  </si>
  <si>
    <t>Đưa vào ngày dự phòng FE</t>
  </si>
  <si>
    <t>Buffer</t>
  </si>
  <si>
    <t>Dự phòng FE</t>
  </si>
  <si>
    <t>Sửa responsive, thông báo lỗi, validation ngày, polish UI; không thêm scope</t>
  </si>
  <si>
    <t>Trần Khánh Linh / Phạm Thu Trang</t>
  </si>
  <si>
    <t>Dùng đúng ngày dự phòng</t>
  </si>
  <si>
    <t>Regression</t>
  </si>
  <si>
    <t>Regression cuối</t>
  </si>
  <si>
    <t>Postman + UI smoke test, ownership/RBAC/validation, không còn lỗi Critical/High</t>
  </si>
  <si>
    <t>Documentation</t>
  </si>
  <si>
    <t>Final</t>
  </si>
  <si>
    <t>Báo cáo và đóng gói</t>
  </si>
  <si>
    <t>README, SQL, Postman, SRS, Technical, Calendar, Report và source ZIP</t>
  </si>
  <si>
    <t>Phạm Thu Trang / Đỗ Hoàng Anh</t>
  </si>
  <si>
    <t>Dashboard + Admin Destination + User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</si>
</sst>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"/>
    <numFmt numFmtId="165" formatCode="dd/mm"/>
    <numFmt numFmtId="166" formatCode="#,##0\ &quot;₫&quot;"/>
    <numFmt numFmtId="167" formatCode="0.0%"/>
  </numFmts>
  <fonts count="34" x14ac:knownFonts="1">
    <font>
      <sz val="11"/>
      <color theme="1"/>
      <name val="Arial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name val="Times New Roman"/>
    </font>
    <font>
      <i/>
      <sz val="13"/>
      <color theme="1"/>
      <name val="Times New Roman"/>
    </font>
    <font>
      <sz val="13"/>
      <color theme="0"/>
      <name val="Times New Roman"/>
    </font>
    <font>
      <sz val="13"/>
      <color rgb="FF000000"/>
      <name val="Times New Roman"/>
    </font>
    <font>
      <sz val="13"/>
      <color rgb="FFFFFFFF"/>
      <name val="Times New Roman"/>
    </font>
    <font>
      <b/>
      <sz val="13"/>
      <color rgb="FF000000"/>
      <name val="Times New Roman"/>
    </font>
    <font>
      <b/>
      <sz val="13"/>
      <color theme="0"/>
      <name val="Times New Roman"/>
    </font>
    <font>
      <sz val="13"/>
      <color rgb="FF7F7F7F"/>
      <name val="Times New Roman"/>
    </font>
    <font>
      <sz val="13"/>
      <color theme="1"/>
      <name val="Arial"/>
    </font>
    <font>
      <b/>
      <sz val="13"/>
      <color rgb="FFFFFFFF"/>
      <name val="Arial"/>
    </font>
    <font>
      <sz val="13"/>
      <color rgb="FF0000FF"/>
      <name val="Times New Roman"/>
    </font>
    <font>
      <sz val="13"/>
      <color rgb="FFD8D8D8"/>
      <name val="Times New Roman"/>
    </font>
    <font>
      <b/>
      <sz val="13"/>
      <color rgb="FFFFFFFF"/>
      <name val="Times New Roman"/>
    </font>
    <font>
      <b/>
      <i/>
      <sz val="13"/>
      <color theme="1"/>
      <name val="Times New Roman"/>
    </font>
    <font>
      <i/>
      <sz val="13"/>
      <color rgb="FF000000"/>
      <name val="Times New Roman"/>
    </font>
    <font>
      <i/>
      <sz val="11"/>
      <color rgb="FF44546A"/>
      <name val="Arial"/>
    </font>
    <font>
      <i/>
      <sz val="13"/>
      <color rgb="FF44546A"/>
      <name val="Times New Roman"/>
    </font>
    <font>
      <sz val="11"/>
      <color theme="10"/>
      <name val="Arial"/>
    </font>
    <font>
      <b/>
      <sz val="16"/>
      <color rgb="FFFFFFFF"/>
      <name val="Times New Roman"/>
    </font>
    <font>
      <b/>
      <sz val="13"/>
      <color rgb="FF1F1F1F"/>
      <name val="Times New Roman"/>
    </font>
    <font>
      <b/>
      <sz val="16"/>
      <color rgb="FFFFFFFF"/>
      <name val="Arial"/>
    </font>
    <font>
      <b/>
      <sz val="13"/>
      <color theme="1"/>
      <name val="Arial"/>
    </font>
    <font>
      <b/>
      <sz val="11"/>
      <color rgb="FFFFFFFF"/>
      <name val="Arial"/>
    </font>
    <font>
      <b/>
      <sz val="13"/>
      <color rgb="FF17324D"/>
      <name val="Times New Roman"/>
    </font>
    <font>
      <b/>
      <sz val="11"/>
      <color rgb="FF17324D"/>
      <name val="Arial"/>
    </font>
    <font>
      <b/>
      <sz val="11"/>
      <color rgb="FF1F1F1F"/>
      <name val="Arial"/>
    </font>
    <font>
      <b/>
      <sz val="13"/>
      <color rgb="FFC00000"/>
      <name val="Times New Roman"/>
    </font>
    <font>
      <b/>
      <sz val="13"/>
      <color rgb="FF2E8B57"/>
      <name val="Times New Roman"/>
    </font>
    <font>
      <b/>
      <i/>
      <sz val="13"/>
      <color rgb="FFFFFFFF"/>
      <name val="Times New Roman"/>
    </font>
    <font>
      <b/>
      <sz val="11"/>
      <color theme="1"/>
      <name val="Arial"/>
    </font>
    <font>
      <b/>
      <sz val="13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9CE89C"/>
      </patternFill>
    </fill>
    <fill>
      <patternFill patternType="solid">
        <fgColor theme="0"/>
      </patternFill>
    </fill>
    <fill>
      <patternFill patternType="solid">
        <fgColor rgb="FFF2F2F2"/>
      </patternFill>
    </fill>
    <fill>
      <patternFill patternType="solid">
        <fgColor rgb="FFFFE600"/>
      </patternFill>
    </fill>
    <fill>
      <patternFill patternType="solid">
        <fgColor rgb="FFBED0EB"/>
      </patternFill>
    </fill>
    <fill>
      <patternFill patternType="solid">
        <fgColor theme="8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9E0D7"/>
      </patternFill>
    </fill>
    <fill>
      <patternFill patternType="solid">
        <fgColor rgb="FFD3DDEE"/>
      </patternFill>
    </fill>
    <fill>
      <patternFill patternType="solid">
        <fgColor theme="4"/>
      </patternFill>
    </fill>
    <fill>
      <patternFill patternType="solid">
        <fgColor rgb="FF7D9ACE"/>
      </patternFill>
    </fill>
    <fill>
      <patternFill patternType="solid">
        <fgColor rgb="FFDEE7F5"/>
      </patternFill>
    </fill>
    <fill>
      <patternFill patternType="solid">
        <fgColor rgb="FFDEE8F5"/>
      </patternFill>
    </fill>
    <fill>
      <patternFill patternType="solid">
        <fgColor rgb="FFBFBFBF"/>
      </patternFill>
    </fill>
    <fill>
      <patternFill patternType="solid">
        <fgColor rgb="FF00B050"/>
      </patternFill>
    </fill>
    <fill>
      <patternFill patternType="solid">
        <fgColor rgb="FF3366FF"/>
      </patternFill>
    </fill>
    <fill>
      <patternFill patternType="solid">
        <fgColor rgb="FFFF0000"/>
      </patternFill>
    </fill>
    <fill>
      <patternFill patternType="solid">
        <fgColor rgb="FF1F4E78"/>
      </patternFill>
    </fill>
    <fill>
      <patternFill patternType="solid">
        <fgColor rgb="FF9DC3E6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7FBFE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00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rgb="FF0070C0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F8C8D"/>
      </left>
      <right style="thin">
        <color rgb="FF000000"/>
      </right>
      <top style="thin">
        <color rgb="FF7F8C8D"/>
      </top>
      <bottom style="thin">
        <color rgb="FF7F8C8D"/>
      </bottom>
      <diagonal/>
    </border>
    <border>
      <left style="thin">
        <color rgb="FF000000"/>
      </left>
      <right style="thin">
        <color rgb="FF000000"/>
      </right>
      <top style="thin">
        <color rgb="FF7F8C8D"/>
      </top>
      <bottom style="thin">
        <color rgb="FF7F8C8D"/>
      </bottom>
      <diagonal/>
    </border>
    <border>
      <left style="thin">
        <color rgb="FF000000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AAB7B8"/>
      </left>
      <right style="thin">
        <color rgb="FF000000"/>
      </right>
      <top style="thin">
        <color rgb="FFAAB7B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B7B8"/>
      </top>
      <bottom style="thin">
        <color rgb="FF000000"/>
      </bottom>
      <diagonal/>
    </border>
    <border>
      <left style="thin">
        <color rgb="FF000000"/>
      </left>
      <right style="thin">
        <color rgb="FFAAB7B8"/>
      </right>
      <top style="thin">
        <color rgb="FFAAB7B8"/>
      </top>
      <bottom style="thin">
        <color rgb="FF000000"/>
      </bottom>
      <diagonal/>
    </border>
    <border>
      <left style="thin">
        <color rgb="FFAAB7B8"/>
      </left>
      <right style="thin">
        <color rgb="FF000000"/>
      </right>
      <top style="thin">
        <color rgb="FF000000"/>
      </top>
      <bottom style="thin">
        <color rgb="FFAAB7B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B7B8"/>
      </bottom>
      <diagonal/>
    </border>
    <border>
      <left style="thin">
        <color rgb="FF000000"/>
      </left>
      <right style="thin">
        <color rgb="FFAAB7B8"/>
      </right>
      <top style="thin">
        <color rgb="FF000000"/>
      </top>
      <bottom style="thin">
        <color rgb="FFAAB7B8"/>
      </bottom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 style="thin">
        <color rgb="FFD8D8D8"/>
      </left>
      <right/>
      <top style="thin">
        <color rgb="FF7F8C8D"/>
      </top>
      <bottom style="thin">
        <color rgb="FF7F8C8D"/>
      </bottom>
      <diagonal/>
    </border>
    <border>
      <left style="thin">
        <color rgb="FFD8D8D8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AAB7B8"/>
      </left>
      <right/>
      <top style="thin">
        <color rgb="FFAAB7B8"/>
      </top>
      <bottom style="medium">
        <color rgb="FFD8D8D8"/>
      </bottom>
      <diagonal/>
    </border>
    <border>
      <left style="thin">
        <color rgb="FFD8D8D8"/>
      </left>
      <right/>
      <top style="thin">
        <color rgb="FFAAB7B8"/>
      </top>
      <bottom style="medium">
        <color rgb="FFD8D8D8"/>
      </bottom>
      <diagonal/>
    </border>
    <border>
      <left style="thin">
        <color rgb="FFD8D8D8"/>
      </left>
      <right style="thin">
        <color rgb="FFAAB7B8"/>
      </right>
      <top style="thin">
        <color rgb="FFAAB7B8"/>
      </top>
      <bottom style="medium">
        <color rgb="FFD8D8D8"/>
      </bottom>
      <diagonal/>
    </border>
    <border>
      <left style="thin">
        <color rgb="FFAAB7B8"/>
      </left>
      <right/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AAB7B8"/>
      </right>
      <top style="medium">
        <color rgb="FFD8D8D8"/>
      </top>
      <bottom style="medium">
        <color rgb="FFD8D8D8"/>
      </bottom>
      <diagonal/>
    </border>
    <border>
      <left style="thin">
        <color rgb="FFAAB7B8"/>
      </left>
      <right/>
      <top style="medium">
        <color rgb="FFD8D8D8"/>
      </top>
      <bottom style="thin">
        <color rgb="FFAAB7B8"/>
      </bottom>
      <diagonal/>
    </border>
    <border>
      <left style="thin">
        <color rgb="FFD8D8D8"/>
      </left>
      <right/>
      <top style="medium">
        <color rgb="FFD8D8D8"/>
      </top>
      <bottom style="thin">
        <color rgb="FFAAB7B8"/>
      </bottom>
      <diagonal/>
    </border>
    <border>
      <left style="thin">
        <color rgb="FFD8D8D8"/>
      </left>
      <right style="thin">
        <color rgb="FFAAB7B8"/>
      </right>
      <top style="medium">
        <color rgb="FFD8D8D8"/>
      </top>
      <bottom style="thin">
        <color rgb="FFAAB7B8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7B7B7"/>
      </left>
      <right style="thin">
        <color theme="4"/>
      </right>
      <top style="thin">
        <color theme="4"/>
      </top>
      <bottom style="thin">
        <color rgb="FFB7B7B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B7B7B7"/>
      </bottom>
      <diagonal/>
    </border>
    <border>
      <left style="thin">
        <color theme="4"/>
      </left>
      <right/>
      <top style="thin">
        <color theme="4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62"/>
    <xf numFmtId="0" fontId="20" fillId="0" borderId="62" applyNumberFormat="0" applyFill="0" applyBorder="0" applyAlignment="0" applyProtection="0"/>
  </cellStyleXfs>
  <cellXfs count="368">
    <xf numFmtId="0" fontId="0" fillId="0" borderId="0" xfId="0" applyBorder="1"/>
    <xf numFmtId="0" fontId="1" fillId="0" borderId="7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35" xfId="0" applyFont="1" applyBorder="1" applyAlignment="1">
      <alignment horizontal="left" wrapText="1"/>
    </xf>
    <xf numFmtId="0" fontId="1" fillId="4" borderId="70" xfId="0" applyFont="1" applyFill="1" applyBorder="1" applyAlignment="1">
      <alignment horizontal="left" vertical="center" wrapText="1"/>
    </xf>
    <xf numFmtId="0" fontId="1" fillId="23" borderId="70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horizontal="left" wrapText="1"/>
    </xf>
    <xf numFmtId="0" fontId="2" fillId="11" borderId="0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 wrapText="1"/>
    </xf>
    <xf numFmtId="15" fontId="2" fillId="11" borderId="0" xfId="0" applyNumberFormat="1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1" fillId="11" borderId="14" xfId="0" applyFont="1" applyFill="1" applyBorder="1" applyAlignment="1">
      <alignment horizontal="left" wrapText="1"/>
    </xf>
    <xf numFmtId="0" fontId="1" fillId="11" borderId="0" xfId="0" applyFont="1" applyFill="1" applyBorder="1" applyAlignment="1">
      <alignment horizontal="left" wrapText="1"/>
    </xf>
    <xf numFmtId="15" fontId="1" fillId="11" borderId="70" xfId="0" applyNumberFormat="1" applyFont="1" applyFill="1" applyBorder="1" applyAlignment="1">
      <alignment horizontal="left" wrapText="1"/>
    </xf>
    <xf numFmtId="0" fontId="1" fillId="18" borderId="70" xfId="0" applyFont="1" applyFill="1" applyBorder="1" applyAlignment="1">
      <alignment horizontal="left" wrapText="1"/>
    </xf>
    <xf numFmtId="0" fontId="4" fillId="11" borderId="70" xfId="0" applyFont="1" applyFill="1" applyBorder="1" applyAlignment="1">
      <alignment horizontal="left" wrapText="1"/>
    </xf>
    <xf numFmtId="15" fontId="1" fillId="11" borderId="0" xfId="0" applyNumberFormat="1" applyFont="1" applyFill="1" applyBorder="1" applyAlignment="1">
      <alignment horizontal="left" wrapText="1"/>
    </xf>
    <xf numFmtId="0" fontId="1" fillId="19" borderId="70" xfId="0" applyFont="1" applyFill="1" applyBorder="1" applyAlignment="1">
      <alignment horizontal="left" wrapText="1"/>
    </xf>
    <xf numFmtId="0" fontId="5" fillId="20" borderId="70" xfId="0" applyFont="1" applyFill="1" applyBorder="1" applyAlignment="1">
      <alignment horizontal="left" wrapText="1"/>
    </xf>
    <xf numFmtId="15" fontId="1" fillId="0" borderId="0" xfId="0" applyNumberFormat="1" applyFont="1" applyBorder="1" applyAlignment="1">
      <alignment horizontal="left" wrapText="1"/>
    </xf>
    <xf numFmtId="0" fontId="7" fillId="21" borderId="70" xfId="0" applyFont="1" applyFill="1" applyBorder="1" applyAlignment="1">
      <alignment horizontal="left" wrapText="1"/>
    </xf>
    <xf numFmtId="0" fontId="1" fillId="11" borderId="35" xfId="0" applyFont="1" applyFill="1" applyBorder="1" applyAlignment="1">
      <alignment horizontal="left" wrapText="1"/>
    </xf>
    <xf numFmtId="0" fontId="2" fillId="11" borderId="35" xfId="0" applyFont="1" applyFill="1" applyBorder="1" applyAlignment="1">
      <alignment horizontal="left" wrapText="1"/>
    </xf>
    <xf numFmtId="0" fontId="1" fillId="4" borderId="70" xfId="0" applyFont="1" applyFill="1" applyBorder="1" applyAlignment="1">
      <alignment horizontal="left" wrapText="1"/>
    </xf>
    <xf numFmtId="0" fontId="8" fillId="24" borderId="70" xfId="0" applyFont="1" applyFill="1" applyBorder="1" applyAlignment="1">
      <alignment horizontal="left" wrapText="1"/>
    </xf>
    <xf numFmtId="0" fontId="1" fillId="0" borderId="70" xfId="0" applyFont="1" applyBorder="1" applyAlignment="1">
      <alignment horizontal="left" wrapText="1"/>
    </xf>
    <xf numFmtId="0" fontId="1" fillId="11" borderId="70" xfId="0" applyFont="1" applyFill="1" applyBorder="1" applyAlignment="1">
      <alignment horizontal="left" wrapText="1"/>
    </xf>
    <xf numFmtId="0" fontId="2" fillId="11" borderId="70" xfId="0" applyFont="1" applyFill="1" applyBorder="1" applyAlignment="1">
      <alignment horizontal="left" wrapText="1"/>
    </xf>
    <xf numFmtId="0" fontId="2" fillId="26" borderId="70" xfId="0" applyFont="1" applyFill="1" applyBorder="1" applyAlignment="1">
      <alignment horizontal="left" wrapText="1"/>
    </xf>
    <xf numFmtId="0" fontId="9" fillId="14" borderId="70" xfId="0" applyFont="1" applyFill="1" applyBorder="1" applyAlignment="1">
      <alignment horizontal="left" wrapText="1"/>
    </xf>
    <xf numFmtId="0" fontId="9" fillId="26" borderId="70" xfId="0" applyFont="1" applyFill="1" applyBorder="1" applyAlignment="1">
      <alignment horizontal="left" wrapText="1"/>
    </xf>
    <xf numFmtId="0" fontId="10" fillId="0" borderId="70" xfId="0" applyFont="1" applyBorder="1" applyAlignment="1">
      <alignment horizontal="left" wrapText="1"/>
    </xf>
    <xf numFmtId="14" fontId="1" fillId="0" borderId="70" xfId="0" applyNumberFormat="1" applyFont="1" applyBorder="1" applyAlignment="1">
      <alignment horizontal="left" wrapText="1"/>
    </xf>
    <xf numFmtId="0" fontId="1" fillId="26" borderId="70" xfId="0" applyFont="1" applyFill="1" applyBorder="1" applyAlignment="1">
      <alignment horizontal="left" wrapText="1"/>
    </xf>
    <xf numFmtId="0" fontId="1" fillId="27" borderId="70" xfId="0" applyFont="1" applyFill="1" applyBorder="1" applyAlignment="1">
      <alignment horizontal="left" wrapText="1"/>
    </xf>
    <xf numFmtId="0" fontId="1" fillId="23" borderId="70" xfId="0" applyFont="1" applyFill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14" fontId="1" fillId="0" borderId="29" xfId="0" applyNumberFormat="1" applyFont="1" applyBorder="1" applyAlignment="1">
      <alignment horizontal="left" wrapText="1"/>
    </xf>
    <xf numFmtId="0" fontId="1" fillId="20" borderId="29" xfId="0" applyFont="1" applyFill="1" applyBorder="1" applyAlignment="1">
      <alignment horizontal="left" wrapText="1"/>
    </xf>
    <xf numFmtId="164" fontId="1" fillId="0" borderId="29" xfId="0" applyNumberFormat="1" applyFont="1" applyBorder="1" applyAlignment="1">
      <alignment horizontal="left" wrapText="1"/>
    </xf>
    <xf numFmtId="15" fontId="1" fillId="0" borderId="29" xfId="0" applyNumberFormat="1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15" fontId="1" fillId="0" borderId="28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wrapText="1"/>
    </xf>
    <xf numFmtId="14" fontId="1" fillId="0" borderId="29" xfId="0" applyNumberFormat="1" applyFont="1" applyBorder="1" applyAlignment="1">
      <alignment horizontal="center" wrapText="1"/>
    </xf>
    <xf numFmtId="49" fontId="1" fillId="0" borderId="70" xfId="0" applyNumberFormat="1" applyFont="1" applyBorder="1" applyAlignment="1">
      <alignment horizontal="left" vertical="center" wrapText="1"/>
    </xf>
    <xf numFmtId="0" fontId="2" fillId="16" borderId="70" xfId="0" applyFont="1" applyFill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14" fontId="14" fillId="0" borderId="53" xfId="0" applyNumberFormat="1" applyFont="1" applyBorder="1" applyAlignment="1">
      <alignment horizontal="left" vertical="center" wrapText="1"/>
    </xf>
    <xf numFmtId="0" fontId="15" fillId="22" borderId="70" xfId="0" applyFont="1" applyFill="1" applyBorder="1" applyAlignment="1">
      <alignment horizontal="left" vertical="center" wrapText="1"/>
    </xf>
    <xf numFmtId="9" fontId="15" fillId="22" borderId="70" xfId="0" applyNumberFormat="1" applyFont="1" applyFill="1" applyBorder="1" applyAlignment="1">
      <alignment horizontal="left" vertical="center" wrapText="1"/>
    </xf>
    <xf numFmtId="0" fontId="2" fillId="15" borderId="70" xfId="0" applyFont="1" applyFill="1" applyBorder="1" applyAlignment="1">
      <alignment horizontal="left" vertical="center" wrapText="1"/>
    </xf>
    <xf numFmtId="0" fontId="1" fillId="16" borderId="70" xfId="0" applyFont="1" applyFill="1" applyBorder="1" applyAlignment="1">
      <alignment horizontal="left" vertical="center" wrapText="1"/>
    </xf>
    <xf numFmtId="14" fontId="15" fillId="22" borderId="70" xfId="0" applyNumberFormat="1" applyFont="1" applyFill="1" applyBorder="1" applyAlignment="1">
      <alignment horizontal="left" vertical="center" wrapText="1"/>
    </xf>
    <xf numFmtId="0" fontId="16" fillId="16" borderId="70" xfId="0" applyFont="1" applyFill="1" applyBorder="1" applyAlignment="1">
      <alignment horizontal="left" vertical="center" wrapText="1"/>
    </xf>
    <xf numFmtId="0" fontId="1" fillId="16" borderId="59" xfId="0" applyFont="1" applyFill="1" applyBorder="1" applyAlignment="1">
      <alignment horizontal="left" vertical="center" wrapText="1"/>
    </xf>
    <xf numFmtId="0" fontId="1" fillId="16" borderId="56" xfId="0" applyFont="1" applyFill="1" applyBorder="1" applyAlignment="1">
      <alignment horizontal="left" vertical="center" wrapText="1"/>
    </xf>
    <xf numFmtId="0" fontId="6" fillId="17" borderId="60" xfId="0" applyFont="1" applyFill="1" applyBorder="1" applyAlignment="1">
      <alignment horizontal="left" vertical="center" wrapText="1"/>
    </xf>
    <xf numFmtId="0" fontId="2" fillId="16" borderId="59" xfId="0" applyFont="1" applyFill="1" applyBorder="1" applyAlignment="1">
      <alignment horizontal="left" vertical="center" wrapText="1"/>
    </xf>
    <xf numFmtId="0" fontId="1" fillId="16" borderId="61" xfId="0" applyFont="1" applyFill="1" applyBorder="1" applyAlignment="1">
      <alignment horizontal="left" vertical="center" wrapText="1"/>
    </xf>
    <xf numFmtId="0" fontId="2" fillId="16" borderId="56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14" fontId="8" fillId="24" borderId="70" xfId="0" applyNumberFormat="1" applyFont="1" applyFill="1" applyBorder="1" applyAlignment="1">
      <alignment horizontal="left" vertical="center" wrapText="1"/>
    </xf>
    <xf numFmtId="14" fontId="8" fillId="25" borderId="70" xfId="0" applyNumberFormat="1" applyFont="1" applyFill="1" applyBorder="1" applyAlignment="1">
      <alignment horizontal="left" vertical="center" wrapText="1"/>
    </xf>
    <xf numFmtId="14" fontId="1" fillId="13" borderId="54" xfId="0" applyNumberFormat="1" applyFont="1" applyFill="1" applyBorder="1" applyAlignment="1">
      <alignment horizontal="left" vertical="center" wrapText="1"/>
    </xf>
    <xf numFmtId="165" fontId="8" fillId="25" borderId="70" xfId="0" applyNumberFormat="1" applyFont="1" applyFill="1" applyBorder="1" applyAlignment="1">
      <alignment horizontal="left" vertical="center" wrapText="1"/>
    </xf>
    <xf numFmtId="0" fontId="1" fillId="15" borderId="55" xfId="0" applyFont="1" applyFill="1" applyBorder="1" applyAlignment="1">
      <alignment horizontal="left" vertical="center" wrapText="1"/>
    </xf>
    <xf numFmtId="0" fontId="1" fillId="0" borderId="57" xfId="0" applyFont="1" applyBorder="1" applyAlignment="1">
      <alignment horizontal="left" vertical="center" wrapText="1"/>
    </xf>
    <xf numFmtId="9" fontId="1" fillId="26" borderId="70" xfId="0" applyNumberFormat="1" applyFont="1" applyFill="1" applyBorder="1" applyAlignment="1">
      <alignment horizontal="left" vertical="center" wrapText="1"/>
    </xf>
    <xf numFmtId="14" fontId="2" fillId="15" borderId="70" xfId="0" applyNumberFormat="1" applyFont="1" applyFill="1" applyBorder="1" applyAlignment="1">
      <alignment horizontal="left" vertical="center" wrapText="1"/>
    </xf>
    <xf numFmtId="0" fontId="1" fillId="25" borderId="70" xfId="0" applyFont="1" applyFill="1" applyBorder="1" applyAlignment="1">
      <alignment horizontal="left" vertical="center" wrapText="1"/>
    </xf>
    <xf numFmtId="14" fontId="1" fillId="16" borderId="70" xfId="0" applyNumberFormat="1" applyFont="1" applyFill="1" applyBorder="1" applyAlignment="1">
      <alignment horizontal="left" vertical="center" wrapText="1"/>
    </xf>
    <xf numFmtId="9" fontId="1" fillId="27" borderId="70" xfId="0" applyNumberFormat="1" applyFont="1" applyFill="1" applyBorder="1" applyAlignment="1">
      <alignment horizontal="left" vertical="center" wrapText="1"/>
    </xf>
    <xf numFmtId="0" fontId="1" fillId="4" borderId="58" xfId="0" applyFont="1" applyFill="1" applyBorder="1" applyAlignment="1">
      <alignment horizontal="left" vertical="center" wrapText="1"/>
    </xf>
    <xf numFmtId="9" fontId="1" fillId="16" borderId="70" xfId="0" applyNumberFormat="1" applyFont="1" applyFill="1" applyBorder="1" applyAlignment="1">
      <alignment horizontal="left" vertical="center" wrapText="1"/>
    </xf>
    <xf numFmtId="2" fontId="1" fillId="4" borderId="58" xfId="0" applyNumberFormat="1" applyFont="1" applyFill="1" applyBorder="1" applyAlignment="1">
      <alignment horizontal="left" vertical="center" wrapText="1"/>
    </xf>
    <xf numFmtId="9" fontId="1" fillId="15" borderId="70" xfId="0" applyNumberFormat="1" applyFont="1" applyFill="1" applyBorder="1" applyAlignment="1">
      <alignment horizontal="left" vertical="center" wrapText="1"/>
    </xf>
    <xf numFmtId="14" fontId="1" fillId="15" borderId="70" xfId="0" applyNumberFormat="1" applyFont="1" applyFill="1" applyBorder="1" applyAlignment="1">
      <alignment horizontal="left" vertical="center" wrapText="1"/>
    </xf>
    <xf numFmtId="14" fontId="2" fillId="16" borderId="70" xfId="0" applyNumberFormat="1" applyFont="1" applyFill="1" applyBorder="1" applyAlignment="1">
      <alignment horizontal="left" vertical="center" wrapText="1"/>
    </xf>
    <xf numFmtId="14" fontId="16" fillId="16" borderId="70" xfId="0" applyNumberFormat="1" applyFont="1" applyFill="1" applyBorder="1" applyAlignment="1">
      <alignment horizontal="left" vertical="center" wrapText="1"/>
    </xf>
    <xf numFmtId="0" fontId="1" fillId="28" borderId="70" xfId="0" applyFont="1" applyFill="1" applyBorder="1" applyAlignment="1">
      <alignment horizontal="left" vertical="center" wrapText="1"/>
    </xf>
    <xf numFmtId="9" fontId="1" fillId="16" borderId="56" xfId="0" applyNumberFormat="1" applyFont="1" applyFill="1" applyBorder="1" applyAlignment="1">
      <alignment horizontal="left" vertical="center" wrapText="1"/>
    </xf>
    <xf numFmtId="14" fontId="1" fillId="16" borderId="56" xfId="0" applyNumberFormat="1" applyFont="1" applyFill="1" applyBorder="1" applyAlignment="1">
      <alignment horizontal="left" vertical="center" wrapText="1"/>
    </xf>
    <xf numFmtId="14" fontId="16" fillId="16" borderId="56" xfId="0" applyNumberFormat="1" applyFont="1" applyFill="1" applyBorder="1" applyAlignment="1">
      <alignment horizontal="left" vertical="center" wrapText="1"/>
    </xf>
    <xf numFmtId="0" fontId="16" fillId="16" borderId="56" xfId="0" applyFont="1" applyFill="1" applyBorder="1" applyAlignment="1">
      <alignment horizontal="left" vertical="center" wrapText="1"/>
    </xf>
    <xf numFmtId="14" fontId="2" fillId="16" borderId="56" xfId="0" applyNumberFormat="1" applyFont="1" applyFill="1" applyBorder="1" applyAlignment="1">
      <alignment horizontal="left" vertical="center" wrapText="1"/>
    </xf>
    <xf numFmtId="9" fontId="2" fillId="16" borderId="56" xfId="0" applyNumberFormat="1" applyFont="1" applyFill="1" applyBorder="1" applyAlignment="1">
      <alignment horizontal="left" vertical="center" wrapText="1"/>
    </xf>
    <xf numFmtId="0" fontId="2" fillId="15" borderId="56" xfId="0" applyFont="1" applyFill="1" applyBorder="1" applyAlignment="1">
      <alignment horizontal="left" vertical="center" wrapText="1"/>
    </xf>
    <xf numFmtId="9" fontId="1" fillId="15" borderId="56" xfId="0" applyNumberFormat="1" applyFont="1" applyFill="1" applyBorder="1" applyAlignment="1">
      <alignment horizontal="left" vertical="center" wrapText="1"/>
    </xf>
    <xf numFmtId="14" fontId="2" fillId="15" borderId="56" xfId="0" applyNumberFormat="1" applyFont="1" applyFill="1" applyBorder="1" applyAlignment="1">
      <alignment horizontal="left" vertical="center" wrapText="1"/>
    </xf>
    <xf numFmtId="0" fontId="1" fillId="15" borderId="56" xfId="0" applyFont="1" applyFill="1" applyBorder="1" applyAlignment="1">
      <alignment horizontal="left" vertical="center" wrapText="1"/>
    </xf>
    <xf numFmtId="14" fontId="1" fillId="15" borderId="56" xfId="0" applyNumberFormat="1" applyFont="1" applyFill="1" applyBorder="1" applyAlignment="1">
      <alignment horizontal="left" vertical="center" wrapText="1"/>
    </xf>
    <xf numFmtId="0" fontId="2" fillId="15" borderId="59" xfId="0" applyFont="1" applyFill="1" applyBorder="1" applyAlignment="1">
      <alignment horizontal="left" vertical="center" wrapText="1"/>
    </xf>
    <xf numFmtId="0" fontId="2" fillId="15" borderId="6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5" fillId="22" borderId="7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30" borderId="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 wrapText="1"/>
    </xf>
    <xf numFmtId="0" fontId="1" fillId="29" borderId="0" xfId="0" applyFont="1" applyFill="1" applyBorder="1" applyAlignment="1">
      <alignment horizontal="center" vertical="center" wrapText="1"/>
    </xf>
    <xf numFmtId="0" fontId="1" fillId="29" borderId="14" xfId="0" applyFont="1" applyFill="1" applyBorder="1" applyAlignment="1">
      <alignment horizontal="center" vertical="center" wrapText="1"/>
    </xf>
    <xf numFmtId="0" fontId="1" fillId="29" borderId="0" xfId="0" applyFont="1" applyFill="1" applyBorder="1" applyAlignment="1">
      <alignment horizontal="center" wrapText="1"/>
    </xf>
    <xf numFmtId="0" fontId="1" fillId="29" borderId="8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9" borderId="1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16" borderId="84" xfId="0" applyFont="1" applyFill="1" applyBorder="1" applyAlignment="1">
      <alignment horizontal="left" vertical="center" wrapText="1"/>
    </xf>
    <xf numFmtId="0" fontId="1" fillId="16" borderId="85" xfId="0" applyFont="1" applyFill="1" applyBorder="1" applyAlignment="1">
      <alignment horizontal="left" vertical="center" wrapText="1"/>
    </xf>
    <xf numFmtId="0" fontId="1" fillId="16" borderId="87" xfId="0" applyFont="1" applyFill="1" applyBorder="1" applyAlignment="1">
      <alignment horizontal="left" vertical="center" wrapText="1"/>
    </xf>
    <xf numFmtId="0" fontId="1" fillId="16" borderId="89" xfId="0" applyFont="1" applyFill="1" applyBorder="1" applyAlignment="1">
      <alignment horizontal="left" vertical="center" wrapText="1"/>
    </xf>
    <xf numFmtId="0" fontId="1" fillId="16" borderId="90" xfId="0" applyFont="1" applyFill="1" applyBorder="1" applyAlignment="1">
      <alignment horizontal="left" vertical="center" wrapText="1"/>
    </xf>
    <xf numFmtId="0" fontId="1" fillId="16" borderId="83" xfId="0" applyFont="1" applyFill="1" applyBorder="1" applyAlignment="1">
      <alignment horizontal="center" vertical="center" wrapText="1"/>
    </xf>
    <xf numFmtId="0" fontId="1" fillId="16" borderId="86" xfId="0" applyFont="1" applyFill="1" applyBorder="1" applyAlignment="1">
      <alignment horizontal="center" vertical="center" wrapText="1"/>
    </xf>
    <xf numFmtId="0" fontId="2" fillId="16" borderId="86" xfId="0" applyFont="1" applyFill="1" applyBorder="1" applyAlignment="1">
      <alignment horizontal="center" vertical="center" wrapText="1"/>
    </xf>
    <xf numFmtId="1" fontId="15" fillId="22" borderId="70" xfId="0" applyNumberFormat="1" applyFont="1" applyFill="1" applyBorder="1" applyAlignment="1">
      <alignment horizontal="left" vertical="center" wrapText="1"/>
    </xf>
    <xf numFmtId="1" fontId="1" fillId="15" borderId="70" xfId="0" applyNumberFormat="1" applyFont="1" applyFill="1" applyBorder="1" applyAlignment="1">
      <alignment horizontal="left" vertical="center" wrapText="1"/>
    </xf>
    <xf numFmtId="1" fontId="1" fillId="16" borderId="70" xfId="0" applyNumberFormat="1" applyFont="1" applyFill="1" applyBorder="1" applyAlignment="1">
      <alignment horizontal="left" vertical="center" wrapText="1"/>
    </xf>
    <xf numFmtId="1" fontId="16" fillId="16" borderId="70" xfId="0" applyNumberFormat="1" applyFont="1" applyFill="1" applyBorder="1" applyAlignment="1">
      <alignment horizontal="left" vertical="center" wrapText="1"/>
    </xf>
    <xf numFmtId="0" fontId="2" fillId="0" borderId="6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6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8" fillId="0" borderId="6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3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66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3" fontId="1" fillId="0" borderId="29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wrapText="1"/>
    </xf>
    <xf numFmtId="14" fontId="2" fillId="4" borderId="29" xfId="0" applyNumberFormat="1" applyFont="1" applyFill="1" applyBorder="1" applyAlignment="1">
      <alignment horizontal="left" wrapText="1"/>
    </xf>
    <xf numFmtId="0" fontId="11" fillId="0" borderId="0" xfId="0" applyFont="1" applyBorder="1" applyAlignment="1">
      <alignment horizontal="left" vertical="center" wrapText="1"/>
    </xf>
    <xf numFmtId="0" fontId="22" fillId="33" borderId="29" xfId="0" applyFont="1" applyFill="1" applyBorder="1" applyAlignment="1">
      <alignment horizontal="center" vertical="top" wrapText="1"/>
    </xf>
    <xf numFmtId="0" fontId="22" fillId="33" borderId="32" xfId="0" applyFont="1" applyFill="1" applyBorder="1" applyAlignment="1">
      <alignment horizontal="center" vertical="top" wrapText="1"/>
    </xf>
    <xf numFmtId="0" fontId="2" fillId="33" borderId="29" xfId="0" applyFont="1" applyFill="1" applyBorder="1" applyAlignment="1">
      <alignment horizontal="center" vertical="top" wrapText="1"/>
    </xf>
    <xf numFmtId="0" fontId="2" fillId="33" borderId="27" xfId="0" applyFont="1" applyFill="1" applyBorder="1" applyAlignment="1">
      <alignment horizontal="center" vertical="top" wrapText="1"/>
    </xf>
    <xf numFmtId="0" fontId="2" fillId="33" borderId="32" xfId="0" applyFont="1" applyFill="1" applyBorder="1" applyAlignment="1">
      <alignment horizontal="center" vertical="top" wrapText="1"/>
    </xf>
    <xf numFmtId="0" fontId="15" fillId="34" borderId="29" xfId="0" applyFont="1" applyFill="1" applyBorder="1" applyAlignment="1">
      <alignment horizontal="center" vertical="center" wrapText="1"/>
    </xf>
    <xf numFmtId="0" fontId="12" fillId="22" borderId="70" xfId="0" applyFont="1" applyFill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" fillId="0" borderId="70" xfId="0" applyFont="1" applyBorder="1" applyAlignment="1">
      <alignment horizontal="left" vertical="top" wrapText="1"/>
    </xf>
    <xf numFmtId="49" fontId="1" fillId="0" borderId="70" xfId="0" applyNumberFormat="1" applyFont="1" applyBorder="1" applyAlignment="1">
      <alignment horizontal="left" vertical="top" wrapText="1"/>
    </xf>
    <xf numFmtId="0" fontId="20" fillId="0" borderId="70" xfId="0" applyFont="1" applyBorder="1" applyAlignment="1">
      <alignment horizontal="left" vertical="top" wrapText="1"/>
    </xf>
    <xf numFmtId="0" fontId="13" fillId="0" borderId="70" xfId="0" applyFont="1" applyBorder="1" applyAlignment="1">
      <alignment horizontal="left" vertical="top" wrapText="1"/>
    </xf>
    <xf numFmtId="0" fontId="2" fillId="33" borderId="70" xfId="0" applyFont="1" applyFill="1" applyBorder="1" applyAlignment="1">
      <alignment horizontal="left" vertical="center" wrapText="1"/>
    </xf>
    <xf numFmtId="49" fontId="2" fillId="33" borderId="70" xfId="0" applyNumberFormat="1" applyFont="1" applyFill="1" applyBorder="1" applyAlignment="1">
      <alignment horizontal="left" vertical="center" wrapText="1"/>
    </xf>
    <xf numFmtId="0" fontId="24" fillId="33" borderId="27" xfId="0" applyFont="1" applyFill="1" applyBorder="1" applyAlignment="1">
      <alignment horizontal="left" vertical="center" wrapText="1"/>
    </xf>
    <xf numFmtId="0" fontId="24" fillId="33" borderId="28" xfId="0" applyFont="1" applyFill="1" applyBorder="1" applyAlignment="1">
      <alignment horizontal="left" vertical="center" wrapText="1"/>
    </xf>
    <xf numFmtId="0" fontId="15" fillId="34" borderId="70" xfId="0" applyFont="1" applyFill="1" applyBorder="1" applyAlignment="1">
      <alignment horizontal="center" vertical="center" wrapText="1"/>
    </xf>
    <xf numFmtId="0" fontId="25" fillId="34" borderId="0" xfId="0" applyFont="1" applyFill="1" applyBorder="1" applyAlignment="1">
      <alignment horizontal="center" wrapText="1"/>
    </xf>
    <xf numFmtId="0" fontId="25" fillId="3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6" fillId="33" borderId="70" xfId="0" applyFont="1" applyFill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26" fillId="33" borderId="43" xfId="0" applyFont="1" applyFill="1" applyBorder="1" applyAlignment="1">
      <alignment horizontal="center" wrapText="1"/>
    </xf>
    <xf numFmtId="0" fontId="6" fillId="0" borderId="70" xfId="0" applyFont="1" applyBorder="1" applyAlignment="1">
      <alignment horizontal="center" vertical="center" wrapText="1"/>
    </xf>
    <xf numFmtId="14" fontId="6" fillId="0" borderId="70" xfId="0" applyNumberFormat="1" applyFont="1" applyBorder="1" applyAlignment="1">
      <alignment horizontal="center" vertical="center" wrapText="1"/>
    </xf>
    <xf numFmtId="0" fontId="6" fillId="11" borderId="70" xfId="0" applyFont="1" applyFill="1" applyBorder="1" applyAlignment="1">
      <alignment horizontal="center" vertical="center" wrapText="1"/>
    </xf>
    <xf numFmtId="14" fontId="6" fillId="11" borderId="70" xfId="0" applyNumberFormat="1" applyFont="1" applyFill="1" applyBorder="1" applyAlignment="1">
      <alignment horizontal="center" vertical="center" wrapText="1"/>
    </xf>
    <xf numFmtId="14" fontId="26" fillId="33" borderId="70" xfId="0" applyNumberFormat="1" applyFont="1" applyFill="1" applyBorder="1" applyAlignment="1">
      <alignment horizontal="center" vertical="center" wrapText="1"/>
    </xf>
    <xf numFmtId="0" fontId="8" fillId="10" borderId="70" xfId="0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wrapText="1"/>
    </xf>
    <xf numFmtId="0" fontId="6" fillId="4" borderId="70" xfId="0" applyFont="1" applyFill="1" applyBorder="1" applyAlignment="1">
      <alignment horizontal="center" vertical="center" wrapText="1"/>
    </xf>
    <xf numFmtId="0" fontId="8" fillId="24" borderId="70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15" fillId="32" borderId="38" xfId="0" applyFont="1" applyFill="1" applyBorder="1" applyAlignment="1">
      <alignment horizontal="center" vertical="center" wrapText="1"/>
    </xf>
    <xf numFmtId="0" fontId="15" fillId="32" borderId="39" xfId="0" applyFont="1" applyFill="1" applyBorder="1" applyAlignment="1">
      <alignment horizontal="center" vertical="center" wrapText="1"/>
    </xf>
    <xf numFmtId="0" fontId="25" fillId="32" borderId="0" xfId="0" applyFont="1" applyFill="1" applyBorder="1" applyAlignment="1">
      <alignment wrapText="1"/>
    </xf>
    <xf numFmtId="0" fontId="6" fillId="4" borderId="39" xfId="0" applyFont="1" applyFill="1" applyBorder="1" applyAlignment="1">
      <alignment horizontal="center" vertical="center" wrapText="1"/>
    </xf>
    <xf numFmtId="0" fontId="8" fillId="12" borderId="3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wrapText="1"/>
    </xf>
    <xf numFmtId="166" fontId="1" fillId="0" borderId="70" xfId="0" applyNumberFormat="1" applyFont="1" applyBorder="1" applyAlignment="1">
      <alignment horizontal="center" vertical="center" wrapText="1"/>
    </xf>
    <xf numFmtId="166" fontId="0" fillId="0" borderId="0" xfId="0" applyNumberFormat="1" applyBorder="1" applyAlignment="1">
      <alignment wrapText="1"/>
    </xf>
    <xf numFmtId="166" fontId="15" fillId="9" borderId="70" xfId="0" applyNumberFormat="1" applyFont="1" applyFill="1" applyBorder="1" applyAlignment="1">
      <alignment horizontal="center" vertical="center" wrapText="1"/>
    </xf>
    <xf numFmtId="166" fontId="26" fillId="33" borderId="70" xfId="0" applyNumberFormat="1" applyFont="1" applyFill="1" applyBorder="1" applyAlignment="1">
      <alignment horizontal="center" vertical="center" wrapText="1"/>
    </xf>
    <xf numFmtId="166" fontId="27" fillId="33" borderId="0" xfId="0" applyNumberFormat="1" applyFont="1" applyFill="1" applyBorder="1" applyAlignment="1">
      <alignment wrapText="1"/>
    </xf>
    <xf numFmtId="166" fontId="15" fillId="22" borderId="70" xfId="0" applyNumberFormat="1" applyFont="1" applyFill="1" applyBorder="1" applyAlignment="1">
      <alignment horizontal="center" vertical="center" wrapText="1"/>
    </xf>
    <xf numFmtId="166" fontId="6" fillId="0" borderId="70" xfId="0" applyNumberFormat="1" applyFont="1" applyBorder="1" applyAlignment="1">
      <alignment horizontal="center" vertical="center" wrapText="1"/>
    </xf>
    <xf numFmtId="166" fontId="8" fillId="10" borderId="70" xfId="0" applyNumberFormat="1" applyFont="1" applyFill="1" applyBorder="1" applyAlignment="1">
      <alignment horizontal="center" vertical="center" wrapText="1"/>
    </xf>
    <xf numFmtId="166" fontId="1" fillId="0" borderId="42" xfId="0" applyNumberFormat="1" applyFont="1" applyBorder="1" applyAlignment="1">
      <alignment horizontal="center" wrapText="1"/>
    </xf>
    <xf numFmtId="166" fontId="6" fillId="4" borderId="70" xfId="0" applyNumberFormat="1" applyFont="1" applyFill="1" applyBorder="1" applyAlignment="1">
      <alignment horizontal="center" vertical="center" wrapText="1"/>
    </xf>
    <xf numFmtId="166" fontId="8" fillId="24" borderId="70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wrapText="1"/>
    </xf>
    <xf numFmtId="167" fontId="1" fillId="0" borderId="41" xfId="0" applyNumberFormat="1" applyFont="1" applyBorder="1" applyAlignment="1">
      <alignment horizontal="center" wrapText="1"/>
    </xf>
    <xf numFmtId="0" fontId="27" fillId="33" borderId="91" xfId="0" applyFont="1" applyFill="1" applyBorder="1" applyAlignment="1">
      <alignment wrapText="1"/>
    </xf>
    <xf numFmtId="0" fontId="27" fillId="33" borderId="92" xfId="0" applyFont="1" applyFill="1" applyBorder="1" applyAlignment="1">
      <alignment wrapText="1"/>
    </xf>
    <xf numFmtId="167" fontId="0" fillId="0" borderId="93" xfId="0" applyNumberFormat="1" applyBorder="1" applyAlignment="1">
      <alignment wrapText="1"/>
    </xf>
    <xf numFmtId="167" fontId="27" fillId="33" borderId="93" xfId="0" applyNumberFormat="1" applyFont="1" applyFill="1" applyBorder="1" applyAlignment="1">
      <alignment wrapText="1"/>
    </xf>
    <xf numFmtId="0" fontId="6" fillId="4" borderId="94" xfId="0" applyFont="1" applyFill="1" applyBorder="1" applyAlignment="1">
      <alignment horizontal="center" vertical="center" wrapText="1"/>
    </xf>
    <xf numFmtId="0" fontId="22" fillId="35" borderId="97" xfId="0" applyFont="1" applyFill="1" applyBorder="1" applyAlignment="1">
      <alignment horizontal="center" vertical="center" wrapText="1"/>
    </xf>
    <xf numFmtId="166" fontId="22" fillId="35" borderId="96" xfId="0" applyNumberFormat="1" applyFont="1" applyFill="1" applyBorder="1" applyAlignment="1">
      <alignment horizontal="center" vertical="center" wrapText="1"/>
    </xf>
    <xf numFmtId="166" fontId="28" fillId="35" borderId="98" xfId="0" applyNumberFormat="1" applyFont="1" applyFill="1" applyBorder="1" applyAlignment="1">
      <alignment wrapText="1"/>
    </xf>
    <xf numFmtId="167" fontId="28" fillId="35" borderId="99" xfId="0" applyNumberFormat="1" applyFont="1" applyFill="1" applyBorder="1" applyAlignment="1">
      <alignment wrapText="1"/>
    </xf>
    <xf numFmtId="165" fontId="14" fillId="0" borderId="53" xfId="0" applyNumberFormat="1" applyFont="1" applyBorder="1" applyAlignment="1">
      <alignment horizontal="left" vertical="center" wrapText="1"/>
    </xf>
    <xf numFmtId="165" fontId="15" fillId="34" borderId="70" xfId="0" applyNumberFormat="1" applyFont="1" applyFill="1" applyBorder="1" applyAlignment="1">
      <alignment horizontal="center" vertical="center" wrapText="1"/>
    </xf>
    <xf numFmtId="0" fontId="26" fillId="33" borderId="70" xfId="0" applyFont="1" applyFill="1" applyBorder="1" applyAlignment="1">
      <alignment horizontal="left" vertical="center" wrapText="1"/>
    </xf>
    <xf numFmtId="9" fontId="26" fillId="33" borderId="70" xfId="0" applyNumberFormat="1" applyFont="1" applyFill="1" applyBorder="1" applyAlignment="1">
      <alignment horizontal="left" vertical="center" wrapText="1"/>
    </xf>
    <xf numFmtId="14" fontId="26" fillId="33" borderId="70" xfId="0" applyNumberFormat="1" applyFont="1" applyFill="1" applyBorder="1" applyAlignment="1">
      <alignment horizontal="left" vertical="center" wrapText="1"/>
    </xf>
    <xf numFmtId="1" fontId="26" fillId="33" borderId="70" xfId="0" applyNumberFormat="1" applyFont="1" applyFill="1" applyBorder="1" applyAlignment="1">
      <alignment horizontal="left" vertical="center" wrapText="1"/>
    </xf>
    <xf numFmtId="165" fontId="14" fillId="36" borderId="53" xfId="0" applyNumberFormat="1" applyFont="1" applyFill="1" applyBorder="1" applyAlignment="1">
      <alignment horizontal="left" vertical="center" wrapText="1"/>
    </xf>
    <xf numFmtId="14" fontId="29" fillId="36" borderId="70" xfId="0" applyNumberFormat="1" applyFont="1" applyFill="1" applyBorder="1" applyAlignment="1">
      <alignment horizontal="left" vertical="center" wrapText="1"/>
    </xf>
    <xf numFmtId="165" fontId="29" fillId="36" borderId="70" xfId="0" applyNumberFormat="1" applyFont="1" applyFill="1" applyBorder="1" applyAlignment="1">
      <alignment horizontal="center" vertical="center" wrapText="1"/>
    </xf>
    <xf numFmtId="0" fontId="26" fillId="36" borderId="70" xfId="0" applyFont="1" applyFill="1" applyBorder="1" applyAlignment="1">
      <alignment horizontal="center" vertical="center" wrapText="1"/>
    </xf>
    <xf numFmtId="0" fontId="1" fillId="26" borderId="70" xfId="0" applyFont="1" applyFill="1" applyBorder="1" applyAlignment="1">
      <alignment horizontal="center" vertical="center" wrapText="1"/>
    </xf>
    <xf numFmtId="0" fontId="1" fillId="36" borderId="70" xfId="0" applyFont="1" applyFill="1" applyBorder="1" applyAlignment="1">
      <alignment horizontal="center" vertical="center" wrapText="1"/>
    </xf>
    <xf numFmtId="0" fontId="1" fillId="27" borderId="70" xfId="0" applyFont="1" applyFill="1" applyBorder="1" applyAlignment="1">
      <alignment horizontal="center" vertical="center" wrapText="1"/>
    </xf>
    <xf numFmtId="0" fontId="1" fillId="23" borderId="70" xfId="0" applyFont="1" applyFill="1" applyBorder="1" applyAlignment="1">
      <alignment horizontal="center" vertical="center" wrapText="1"/>
    </xf>
    <xf numFmtId="0" fontId="15" fillId="36" borderId="70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36" borderId="57" xfId="0" applyFont="1" applyFill="1" applyBorder="1" applyAlignment="1">
      <alignment horizontal="center" vertical="center" wrapText="1"/>
    </xf>
    <xf numFmtId="9" fontId="15" fillId="22" borderId="56" xfId="0" applyNumberFormat="1" applyFont="1" applyFill="1" applyBorder="1" applyAlignment="1">
      <alignment horizontal="center" vertical="center" wrapText="1"/>
    </xf>
    <xf numFmtId="0" fontId="15" fillId="22" borderId="59" xfId="0" applyFont="1" applyFill="1" applyBorder="1" applyAlignment="1">
      <alignment horizontal="center" vertical="center" wrapText="1"/>
    </xf>
    <xf numFmtId="0" fontId="15" fillId="22" borderId="56" xfId="0" applyFont="1" applyFill="1" applyBorder="1" applyAlignment="1">
      <alignment horizontal="center" vertical="center" wrapText="1"/>
    </xf>
    <xf numFmtId="0" fontId="2" fillId="24" borderId="80" xfId="0" applyFont="1" applyFill="1" applyBorder="1" applyAlignment="1">
      <alignment horizontal="center" vertical="center" wrapText="1"/>
    </xf>
    <xf numFmtId="0" fontId="2" fillId="24" borderId="81" xfId="0" applyFont="1" applyFill="1" applyBorder="1" applyAlignment="1">
      <alignment horizontal="center" vertical="center" wrapText="1"/>
    </xf>
    <xf numFmtId="0" fontId="2" fillId="24" borderId="82" xfId="0" applyFont="1" applyFill="1" applyBorder="1" applyAlignment="1">
      <alignment horizontal="center" vertical="center" wrapText="1"/>
    </xf>
    <xf numFmtId="0" fontId="1" fillId="25" borderId="88" xfId="0" applyFont="1" applyFill="1" applyBorder="1" applyAlignment="1">
      <alignment horizontal="center" vertical="center" wrapText="1"/>
    </xf>
    <xf numFmtId="0" fontId="15" fillId="34" borderId="28" xfId="0" applyFont="1" applyFill="1" applyBorder="1" applyAlignment="1">
      <alignment horizontal="center" wrapText="1"/>
    </xf>
    <xf numFmtId="14" fontId="15" fillId="34" borderId="70" xfId="0" applyNumberFormat="1" applyFont="1" applyFill="1" applyBorder="1" applyAlignment="1">
      <alignment horizontal="center" vertical="center" wrapText="1"/>
    </xf>
    <xf numFmtId="0" fontId="8" fillId="6" borderId="70" xfId="0" applyFont="1" applyFill="1" applyBorder="1" applyAlignment="1">
      <alignment horizontal="center" vertical="center" wrapText="1"/>
    </xf>
    <xf numFmtId="14" fontId="1" fillId="0" borderId="32" xfId="0" applyNumberFormat="1" applyFont="1" applyBorder="1" applyAlignment="1">
      <alignment horizontal="center" wrapText="1"/>
    </xf>
    <xf numFmtId="0" fontId="6" fillId="0" borderId="29" xfId="0" applyFont="1" applyBorder="1" applyAlignment="1">
      <alignment horizontal="center" vertical="center" wrapText="1"/>
    </xf>
    <xf numFmtId="0" fontId="8" fillId="7" borderId="70" xfId="0" applyFont="1" applyFill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wrapText="1"/>
    </xf>
    <xf numFmtId="0" fontId="6" fillId="5" borderId="70" xfId="0" applyFont="1" applyFill="1" applyBorder="1" applyAlignment="1">
      <alignment horizontal="center" vertical="center" wrapText="1"/>
    </xf>
    <xf numFmtId="14" fontId="6" fillId="5" borderId="70" xfId="0" applyNumberFormat="1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14" fontId="8" fillId="6" borderId="70" xfId="0" applyNumberFormat="1" applyFont="1" applyFill="1" applyBorder="1" applyAlignment="1">
      <alignment horizontal="center" vertical="center" wrapText="1"/>
    </xf>
    <xf numFmtId="0" fontId="30" fillId="35" borderId="29" xfId="0" applyFont="1" applyFill="1" applyBorder="1" applyAlignment="1">
      <alignment horizontal="center" vertical="center" wrapText="1"/>
    </xf>
    <xf numFmtId="0" fontId="30" fillId="35" borderId="27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18" fillId="31" borderId="0" xfId="0" applyFont="1" applyFill="1" applyBorder="1" applyAlignment="1">
      <alignment horizontal="center" vertical="center" wrapText="1"/>
    </xf>
    <xf numFmtId="164" fontId="19" fillId="31" borderId="0" xfId="0" applyNumberFormat="1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wrapText="1"/>
    </xf>
    <xf numFmtId="0" fontId="15" fillId="32" borderId="29" xfId="0" applyFont="1" applyFill="1" applyBorder="1" applyAlignment="1">
      <alignment horizontal="center" vertical="center" wrapText="1"/>
    </xf>
    <xf numFmtId="3" fontId="15" fillId="32" borderId="29" xfId="0" applyNumberFormat="1" applyFont="1" applyFill="1" applyBorder="1" applyAlignment="1">
      <alignment horizontal="center" vertical="center" wrapText="1"/>
    </xf>
    <xf numFmtId="164" fontId="15" fillId="32" borderId="29" xfId="0" applyNumberFormat="1" applyFont="1" applyFill="1" applyBorder="1" applyAlignment="1">
      <alignment horizontal="center" vertical="center" wrapText="1"/>
    </xf>
    <xf numFmtId="0" fontId="8" fillId="24" borderId="71" xfId="0" applyFont="1" applyFill="1" applyBorder="1" applyAlignment="1">
      <alignment horizontal="center" vertical="center" wrapText="1"/>
    </xf>
    <xf numFmtId="0" fontId="8" fillId="24" borderId="72" xfId="0" applyFont="1" applyFill="1" applyBorder="1" applyAlignment="1">
      <alignment horizontal="center" vertical="center" wrapText="1"/>
    </xf>
    <xf numFmtId="3" fontId="8" fillId="24" borderId="72" xfId="0" applyNumberFormat="1" applyFont="1" applyFill="1" applyBorder="1" applyAlignment="1">
      <alignment horizontal="center" vertical="center" wrapText="1"/>
    </xf>
    <xf numFmtId="164" fontId="8" fillId="24" borderId="73" xfId="0" applyNumberFormat="1" applyFont="1" applyFill="1" applyBorder="1" applyAlignment="1">
      <alignment horizontal="center" vertical="center" wrapText="1"/>
    </xf>
    <xf numFmtId="0" fontId="17" fillId="31" borderId="74" xfId="0" applyFont="1" applyFill="1" applyBorder="1" applyAlignment="1">
      <alignment horizontal="center" vertical="center" wrapText="1"/>
    </xf>
    <xf numFmtId="0" fontId="17" fillId="31" borderId="75" xfId="0" applyFont="1" applyFill="1" applyBorder="1" applyAlignment="1">
      <alignment horizontal="center" vertical="center" wrapText="1"/>
    </xf>
    <xf numFmtId="3" fontId="17" fillId="31" borderId="75" xfId="0" applyNumberFormat="1" applyFont="1" applyFill="1" applyBorder="1" applyAlignment="1">
      <alignment horizontal="center" vertical="center" wrapText="1"/>
    </xf>
    <xf numFmtId="164" fontId="17" fillId="31" borderId="76" xfId="0" applyNumberFormat="1" applyFont="1" applyFill="1" applyBorder="1" applyAlignment="1">
      <alignment horizontal="center" vertical="center" wrapText="1"/>
    </xf>
    <xf numFmtId="0" fontId="17" fillId="31" borderId="77" xfId="0" applyFont="1" applyFill="1" applyBorder="1" applyAlignment="1">
      <alignment horizontal="center" vertical="center" wrapText="1"/>
    </xf>
    <xf numFmtId="0" fontId="17" fillId="31" borderId="78" xfId="0" applyFont="1" applyFill="1" applyBorder="1" applyAlignment="1">
      <alignment horizontal="center" vertical="center" wrapText="1"/>
    </xf>
    <xf numFmtId="3" fontId="17" fillId="31" borderId="78" xfId="0" applyNumberFormat="1" applyFont="1" applyFill="1" applyBorder="1" applyAlignment="1">
      <alignment horizontal="center" vertical="center" wrapText="1"/>
    </xf>
    <xf numFmtId="164" fontId="17" fillId="31" borderId="79" xfId="0" applyNumberFormat="1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3" fontId="6" fillId="5" borderId="29" xfId="0" applyNumberFormat="1" applyFont="1" applyFill="1" applyBorder="1" applyAlignment="1">
      <alignment horizontal="center" vertical="center" wrapText="1"/>
    </xf>
    <xf numFmtId="164" fontId="6" fillId="5" borderId="29" xfId="0" applyNumberFormat="1" applyFont="1" applyFill="1" applyBorder="1" applyAlignment="1">
      <alignment horizontal="center" vertical="center" wrapText="1"/>
    </xf>
    <xf numFmtId="0" fontId="15" fillId="34" borderId="9" xfId="0" applyFont="1" applyFill="1" applyBorder="1" applyAlignment="1">
      <alignment horizontal="center" vertical="center" wrapText="1"/>
    </xf>
    <xf numFmtId="0" fontId="15" fillId="34" borderId="10" xfId="0" applyFont="1" applyFill="1" applyBorder="1" applyAlignment="1">
      <alignment horizontal="center" wrapText="1"/>
    </xf>
    <xf numFmtId="0" fontId="15" fillId="34" borderId="11" xfId="0" applyFont="1" applyFill="1" applyBorder="1" applyAlignment="1">
      <alignment horizontal="center" wrapText="1"/>
    </xf>
    <xf numFmtId="0" fontId="1" fillId="11" borderId="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9" fillId="36" borderId="11" xfId="0" applyFont="1" applyFill="1" applyBorder="1" applyAlignment="1">
      <alignment horizontal="center" wrapText="1"/>
    </xf>
    <xf numFmtId="0" fontId="29" fillId="36" borderId="70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15" fillId="37" borderId="70" xfId="0" applyFont="1" applyFill="1" applyBorder="1" applyAlignment="1">
      <alignment horizontal="center" vertical="center" wrapText="1"/>
    </xf>
    <xf numFmtId="0" fontId="1" fillId="37" borderId="0" xfId="0" applyFont="1" applyFill="1" applyBorder="1" applyAlignment="1">
      <alignment horizontal="center" vertical="center" wrapText="1"/>
    </xf>
    <xf numFmtId="0" fontId="15" fillId="34" borderId="19" xfId="0" applyFont="1" applyFill="1" applyBorder="1" applyAlignment="1">
      <alignment horizontal="center" vertical="center" wrapText="1"/>
    </xf>
    <xf numFmtId="0" fontId="15" fillId="34" borderId="0" xfId="0" applyFont="1" applyFill="1" applyBorder="1" applyAlignment="1">
      <alignment horizontal="center" vertical="center" wrapText="1"/>
    </xf>
    <xf numFmtId="15" fontId="15" fillId="34" borderId="0" xfId="0" applyNumberFormat="1" applyFont="1" applyFill="1" applyBorder="1" applyAlignment="1">
      <alignment horizontal="center" vertical="center" wrapText="1"/>
    </xf>
    <xf numFmtId="15" fontId="15" fillId="34" borderId="70" xfId="0" applyNumberFormat="1" applyFont="1" applyFill="1" applyBorder="1" applyAlignment="1">
      <alignment horizontal="center" vertical="center" wrapText="1"/>
    </xf>
    <xf numFmtId="0" fontId="31" fillId="34" borderId="70" xfId="0" applyFont="1" applyFill="1" applyBorder="1" applyAlignment="1">
      <alignment horizontal="center" vertical="center" wrapText="1"/>
    </xf>
    <xf numFmtId="0" fontId="32" fillId="0" borderId="0" xfId="0" applyFont="1" applyBorder="1"/>
    <xf numFmtId="14" fontId="1" fillId="0" borderId="35" xfId="0" applyNumberFormat="1" applyFont="1" applyBorder="1" applyAlignment="1">
      <alignment horizontal="left" wrapText="1"/>
    </xf>
    <xf numFmtId="14" fontId="8" fillId="24" borderId="70" xfId="0" applyNumberFormat="1" applyFont="1" applyFill="1" applyBorder="1" applyAlignment="1">
      <alignment horizontal="left" wrapText="1"/>
    </xf>
    <xf numFmtId="14" fontId="9" fillId="14" borderId="70" xfId="0" applyNumberFormat="1" applyFont="1" applyFill="1" applyBorder="1" applyAlignment="1">
      <alignment horizontal="left" wrapText="1"/>
    </xf>
    <xf numFmtId="14" fontId="1" fillId="11" borderId="0" xfId="0" applyNumberFormat="1" applyFont="1" applyFill="1" applyBorder="1" applyAlignment="1">
      <alignment horizontal="left" wrapText="1"/>
    </xf>
    <xf numFmtId="14" fontId="1" fillId="11" borderId="70" xfId="0" applyNumberFormat="1" applyFont="1" applyFill="1" applyBorder="1" applyAlignment="1">
      <alignment horizontal="left" wrapText="1"/>
    </xf>
    <xf numFmtId="14" fontId="2" fillId="11" borderId="0" xfId="0" applyNumberFormat="1" applyFont="1" applyFill="1" applyBorder="1" applyAlignment="1">
      <alignment horizontal="left" wrapText="1"/>
    </xf>
    <xf numFmtId="1" fontId="1" fillId="16" borderId="56" xfId="0" applyNumberFormat="1" applyFont="1" applyFill="1" applyBorder="1" applyAlignment="1">
      <alignment horizontal="left" vertical="center" wrapText="1"/>
    </xf>
    <xf numFmtId="1" fontId="16" fillId="16" borderId="56" xfId="0" applyNumberFormat="1" applyFont="1" applyFill="1" applyBorder="1" applyAlignment="1">
      <alignment horizontal="left" vertical="center" wrapText="1"/>
    </xf>
    <xf numFmtId="0" fontId="33" fillId="37" borderId="70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8" fillId="7" borderId="65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 wrapText="1"/>
    </xf>
    <xf numFmtId="3" fontId="6" fillId="5" borderId="36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wrapText="1"/>
    </xf>
    <xf numFmtId="0" fontId="8" fillId="4" borderId="39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8" fillId="12" borderId="38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wrapText="1"/>
    </xf>
    <xf numFmtId="0" fontId="8" fillId="13" borderId="47" xfId="0" applyFont="1" applyFill="1" applyBorder="1" applyAlignment="1">
      <alignment horizontal="center" vertical="center" wrapText="1"/>
    </xf>
    <xf numFmtId="0" fontId="8" fillId="13" borderId="48" xfId="0" applyFont="1" applyFill="1" applyBorder="1" applyAlignment="1">
      <alignment horizontal="center" vertical="center" wrapText="1"/>
    </xf>
    <xf numFmtId="0" fontId="8" fillId="13" borderId="49" xfId="0" applyFont="1" applyFill="1" applyBorder="1" applyAlignment="1">
      <alignment horizontal="center" vertical="center" wrapText="1"/>
    </xf>
    <xf numFmtId="0" fontId="21" fillId="32" borderId="0" xfId="0" applyFont="1" applyFill="1" applyBorder="1" applyAlignment="1">
      <alignment horizontal="center" vertical="center" wrapText="1"/>
    </xf>
    <xf numFmtId="0" fontId="21" fillId="32" borderId="0" xfId="0" applyFont="1" applyFill="1" applyBorder="1" applyAlignment="1">
      <alignment horizontal="center" wrapText="1"/>
    </xf>
    <xf numFmtId="0" fontId="21" fillId="32" borderId="29" xfId="0" applyFont="1" applyFill="1" applyBorder="1" applyAlignment="1">
      <alignment horizontal="center" vertical="center" wrapText="1"/>
    </xf>
    <xf numFmtId="0" fontId="21" fillId="32" borderId="27" xfId="0" applyFont="1" applyFill="1" applyBorder="1" applyAlignment="1">
      <alignment horizontal="center" vertical="center" wrapText="1"/>
    </xf>
    <xf numFmtId="0" fontId="21" fillId="32" borderId="28" xfId="0" applyFont="1" applyFill="1" applyBorder="1" applyAlignment="1">
      <alignment horizontal="center" vertical="center" wrapText="1"/>
    </xf>
    <xf numFmtId="0" fontId="23" fillId="32" borderId="0" xfId="0" applyFont="1" applyFill="1" applyBorder="1" applyAlignment="1">
      <alignment horizontal="center" wrapText="1"/>
    </xf>
    <xf numFmtId="164" fontId="21" fillId="32" borderId="0" xfId="0" applyNumberFormat="1" applyFont="1" applyFill="1" applyBorder="1" applyAlignment="1">
      <alignment horizontal="center" wrapText="1"/>
    </xf>
    <xf numFmtId="0" fontId="22" fillId="35" borderId="95" xfId="0" applyFont="1" applyFill="1" applyBorder="1" applyAlignment="1">
      <alignment horizontal="center" vertical="center" wrapText="1"/>
    </xf>
    <xf numFmtId="0" fontId="22" fillId="35" borderId="96" xfId="0" applyFont="1" applyFill="1" applyBorder="1" applyAlignment="1">
      <alignment horizontal="center" vertical="center" wrapText="1"/>
    </xf>
    <xf numFmtId="0" fontId="26" fillId="33" borderId="0" xfId="0" applyFont="1" applyFill="1" applyBorder="1" applyAlignment="1">
      <alignment horizontal="center" vertical="center" wrapText="1"/>
    </xf>
    <xf numFmtId="0" fontId="26" fillId="33" borderId="52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vertical="center" wrapText="1"/>
    </xf>
    <xf numFmtId="14" fontId="26" fillId="33" borderId="52" xfId="0" applyNumberFormat="1" applyFont="1" applyFill="1" applyBorder="1" applyAlignment="1">
      <alignment horizontal="center" vertical="center" wrapText="1"/>
    </xf>
    <xf numFmtId="0" fontId="26" fillId="33" borderId="51" xfId="0" applyFont="1" applyFill="1" applyBorder="1" applyAlignment="1">
      <alignment horizontal="center" vertical="center" wrapText="1"/>
    </xf>
    <xf numFmtId="0" fontId="23" fillId="32" borderId="0" xfId="0" applyFont="1" applyFill="1" applyBorder="1" applyAlignment="1">
      <alignment horizontal="center" vertical="center" wrapText="1"/>
    </xf>
    <xf numFmtId="0" fontId="21" fillId="32" borderId="30" xfId="0" applyFont="1" applyFill="1" applyBorder="1" applyAlignment="1">
      <alignment horizontal="center" wrapText="1"/>
    </xf>
    <xf numFmtId="0" fontId="21" fillId="32" borderId="11" xfId="0" applyFont="1" applyFill="1" applyBorder="1" applyAlignment="1">
      <alignment horizontal="center" wrapText="1"/>
    </xf>
    <xf numFmtId="15" fontId="21" fillId="32" borderId="11" xfId="0" applyNumberFormat="1" applyFont="1" applyFill="1" applyBorder="1" applyAlignment="1">
      <alignment horizontal="center" wrapText="1"/>
    </xf>
    <xf numFmtId="0" fontId="21" fillId="32" borderId="10" xfId="0" applyFont="1" applyFill="1" applyBorder="1" applyAlignment="1">
      <alignment horizontal="center" wrapText="1"/>
    </xf>
  </cellXfs>
  <cellStyles count="2">
    <cellStyle name="Hyperlink" xfId="1" xr:uid="{00000000-0005-0000-0000-000000000000}"/>
    <cellStyle name="Normal" xfId="0" builtinId="0"/>
  </cellStyles>
  <dxfs count="48">
    <dxf>
      <font>
        <b/>
        <color rgb="FFC00000"/>
      </font>
      <fill>
        <patternFill patternType="solid">
          <bgColor rgb="FFFFF2CC"/>
        </patternFill>
      </fill>
    </dxf>
    <dxf>
      <fill>
        <patternFill>
          <bgColor rgb="FFA5A5A5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EECE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b/>
        <color rgb="FF2E8B57"/>
      </font>
      <fill>
        <patternFill patternType="solid">
          <bgColor rgb="FFE2F0D9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right style="thin">
          <color rgb="FFD8D8D8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>
          <bgColor rgb="FF3969AD"/>
        </patternFill>
      </fill>
    </dxf>
    <dxf>
      <fill>
        <patternFill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Phân bổ effort theo giai đoạn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Effort (MD)</c:v>
          </c:tx>
          <c:invertIfNegative val="1"/>
          <c:cat>
            <c:strRef>
              <c:f>'2. Price'!$J$3:$J$6</c:f>
              <c:strCache>
                <c:ptCount val="4"/>
                <c:pt idx="0">
                  <c:v>Phân tích/Tài liệu</c:v>
                </c:pt>
                <c:pt idx="1">
                  <c:v>Thiết kế/Setup</c:v>
                </c:pt>
                <c:pt idx="2">
                  <c:v>Phát triển</c:v>
                </c:pt>
                <c:pt idx="3">
                  <c:v>Test/Hoàn thiện</c:v>
                </c:pt>
              </c:strCache>
            </c:strRef>
          </c:cat>
          <c:val>
            <c:numRef>
              <c:f>'2. Price'!$K$3:$K$6</c:f>
              <c:numCache>
                <c:formatCode>General</c:formatCode>
                <c:ptCount val="4"/>
                <c:pt idx="0">
                  <c:v>5.5</c:v>
                </c:pt>
                <c:pt idx="1">
                  <c:v>6</c:v>
                </c:pt>
                <c:pt idx="2">
                  <c:v>17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B-4C68-A950-56995A612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2209800</xdr:colOff>
      <xdr:row>32</xdr:row>
      <xdr:rowOff>104775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A18195D-B849-89BE-280A-51A93883376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2209800</xdr:colOff>
      <xdr:row>32</xdr:row>
      <xdr:rowOff>104775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B4BA9F8-B249-15B9-F31C-3569355E40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915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workbookViewId="0">
      <selection activeCell="C12" sqref="C12"/>
    </sheetView>
  </sheetViews>
  <sheetFormatPr defaultColWidth="12.625" defaultRowHeight="16.5" x14ac:dyDescent="0.25"/>
  <cols>
    <col min="1" max="1" width="1.875" style="2" customWidth="1"/>
    <col min="2" max="2" width="7.75" style="2" bestFit="1" customWidth="1"/>
    <col min="3" max="3" width="35.75" style="2" bestFit="1" customWidth="1"/>
    <col min="4" max="4" width="6.25" style="2" bestFit="1" customWidth="1"/>
    <col min="5" max="5" width="9.5" style="197" bestFit="1" customWidth="1"/>
    <col min="6" max="6" width="6.875" style="197" bestFit="1" customWidth="1"/>
    <col min="7" max="7" width="6.75" style="197" bestFit="1" customWidth="1"/>
    <col min="8" max="8" width="9.125" style="197" bestFit="1" customWidth="1"/>
    <col min="9" max="9" width="11.375" style="197" bestFit="1" customWidth="1"/>
    <col min="10" max="10" width="6.25" style="197" bestFit="1" customWidth="1"/>
    <col min="11" max="12" width="9.25" style="197" bestFit="1" customWidth="1"/>
    <col min="13" max="13" width="6.25" style="197" bestFit="1" customWidth="1"/>
    <col min="14" max="15" width="3.375" style="2" customWidth="1"/>
    <col min="16" max="24" width="2.25" style="2" customWidth="1"/>
    <col min="25" max="27" width="3.375" style="2" customWidth="1"/>
    <col min="28" max="16384" width="12.625" style="2"/>
  </cols>
  <sheetData>
    <row r="1" spans="1:27" ht="20.25" x14ac:dyDescent="0.3">
      <c r="B1" s="348" t="s">
        <v>5</v>
      </c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49.5" x14ac:dyDescent="0.25">
      <c r="B2" s="153" t="s">
        <v>6</v>
      </c>
      <c r="C2" s="154" t="s">
        <v>7</v>
      </c>
      <c r="D2" s="148"/>
      <c r="E2" s="149" t="s">
        <v>8</v>
      </c>
      <c r="F2" s="149" t="s">
        <v>9</v>
      </c>
      <c r="G2" s="149"/>
      <c r="H2" s="149" t="s">
        <v>10</v>
      </c>
      <c r="I2" s="149" t="s">
        <v>11</v>
      </c>
      <c r="J2" s="149"/>
      <c r="K2" s="149" t="s">
        <v>12</v>
      </c>
      <c r="L2" s="149" t="s">
        <v>13</v>
      </c>
      <c r="M2" s="149"/>
      <c r="N2" s="149"/>
      <c r="O2" s="150"/>
      <c r="P2" s="151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2"/>
    </row>
    <row r="3" spans="1:27" x14ac:dyDescent="0.25">
      <c r="B3" s="155" t="s">
        <v>14</v>
      </c>
      <c r="C3" s="156" t="s">
        <v>15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5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6"/>
    </row>
    <row r="4" spans="1:27" x14ac:dyDescent="0.25">
      <c r="B4" s="306" t="s">
        <v>16</v>
      </c>
      <c r="C4" s="307" t="s">
        <v>17</v>
      </c>
      <c r="D4" s="308" t="s">
        <v>18</v>
      </c>
      <c r="E4" s="308" t="s">
        <v>19</v>
      </c>
      <c r="F4" s="312" t="s">
        <v>20</v>
      </c>
      <c r="G4" s="312" t="s">
        <v>21</v>
      </c>
      <c r="H4" s="308" t="s">
        <v>22</v>
      </c>
      <c r="I4" s="308" t="s">
        <v>23</v>
      </c>
      <c r="J4" s="308" t="s">
        <v>24</v>
      </c>
      <c r="K4" s="308" t="s">
        <v>25</v>
      </c>
      <c r="L4" s="308" t="s">
        <v>26</v>
      </c>
      <c r="M4" s="308" t="s">
        <v>27</v>
      </c>
      <c r="N4" s="112"/>
      <c r="O4" s="111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3"/>
    </row>
    <row r="5" spans="1:27" x14ac:dyDescent="0.25">
      <c r="B5" s="104" t="s">
        <v>28</v>
      </c>
      <c r="C5" s="104" t="s">
        <v>29</v>
      </c>
      <c r="D5" s="104" t="s">
        <v>30</v>
      </c>
      <c r="E5" s="104" t="s">
        <v>30</v>
      </c>
      <c r="F5" s="313"/>
      <c r="G5" s="313" t="s">
        <v>31</v>
      </c>
      <c r="H5" s="104" t="s">
        <v>31</v>
      </c>
      <c r="I5" s="104"/>
      <c r="J5" s="104"/>
      <c r="K5" s="104"/>
      <c r="L5" s="104"/>
      <c r="M5" s="315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14"/>
    </row>
    <row r="6" spans="1:27" x14ac:dyDescent="0.25">
      <c r="B6" s="107" t="s">
        <v>32</v>
      </c>
      <c r="C6" s="115" t="s">
        <v>33</v>
      </c>
      <c r="D6" s="103" t="s">
        <v>30</v>
      </c>
      <c r="E6" s="309" t="s">
        <v>30</v>
      </c>
      <c r="F6" s="314" t="s">
        <v>30</v>
      </c>
      <c r="G6" s="314" t="s">
        <v>31</v>
      </c>
      <c r="H6" s="309" t="s">
        <v>31</v>
      </c>
      <c r="I6" s="309"/>
      <c r="J6" s="108"/>
      <c r="K6" s="309"/>
      <c r="L6" s="309"/>
      <c r="M6" s="316"/>
      <c r="N6" s="116"/>
      <c r="O6" s="117"/>
      <c r="P6" s="116"/>
      <c r="Q6" s="116"/>
      <c r="R6" s="116"/>
      <c r="S6" s="116"/>
      <c r="T6" s="116"/>
      <c r="U6" s="116"/>
      <c r="V6" s="116"/>
      <c r="W6" s="116"/>
      <c r="X6" s="116"/>
      <c r="Y6" s="118"/>
      <c r="Z6" s="118"/>
      <c r="AA6" s="119"/>
    </row>
    <row r="7" spans="1:27" x14ac:dyDescent="0.25">
      <c r="A7" s="120"/>
      <c r="B7" s="310" t="s">
        <v>34</v>
      </c>
      <c r="C7" s="121" t="s">
        <v>35</v>
      </c>
      <c r="D7" s="311" t="s">
        <v>30</v>
      </c>
      <c r="E7" s="309" t="s">
        <v>30</v>
      </c>
      <c r="F7" s="314" t="s">
        <v>30</v>
      </c>
      <c r="G7" s="314" t="s">
        <v>31</v>
      </c>
      <c r="H7" s="309" t="s">
        <v>31</v>
      </c>
      <c r="I7" s="309" t="s">
        <v>30</v>
      </c>
      <c r="J7" s="108" t="s">
        <v>30</v>
      </c>
      <c r="K7" s="309" t="s">
        <v>30</v>
      </c>
      <c r="L7" s="309" t="s">
        <v>30</v>
      </c>
      <c r="M7" s="316" t="s">
        <v>30</v>
      </c>
      <c r="N7" s="116"/>
      <c r="O7" s="117"/>
      <c r="P7" s="116"/>
      <c r="Q7" s="116"/>
      <c r="R7" s="116"/>
      <c r="S7" s="116"/>
      <c r="T7" s="116"/>
      <c r="U7" s="116"/>
      <c r="V7" s="116"/>
      <c r="W7" s="116"/>
      <c r="X7" s="116"/>
      <c r="Y7" s="118"/>
      <c r="Z7" s="118"/>
      <c r="AA7" s="119"/>
    </row>
    <row r="8" spans="1:27" x14ac:dyDescent="0.25">
      <c r="B8" s="107" t="s">
        <v>36</v>
      </c>
      <c r="C8" s="115" t="s">
        <v>37</v>
      </c>
      <c r="D8" s="103"/>
      <c r="E8" s="309" t="s">
        <v>30</v>
      </c>
      <c r="F8" s="314" t="s">
        <v>30</v>
      </c>
      <c r="G8" s="314" t="s">
        <v>31</v>
      </c>
      <c r="H8" s="309" t="s">
        <v>31</v>
      </c>
      <c r="I8" s="309"/>
      <c r="J8" s="108"/>
      <c r="K8" s="309"/>
      <c r="L8" s="309"/>
      <c r="M8" s="316"/>
      <c r="N8" s="116"/>
      <c r="O8" s="116"/>
      <c r="P8" s="122"/>
      <c r="Q8" s="116"/>
      <c r="R8" s="116"/>
      <c r="S8" s="116"/>
      <c r="T8" s="116"/>
      <c r="U8" s="116"/>
      <c r="V8" s="116"/>
      <c r="W8" s="116"/>
      <c r="X8" s="116"/>
      <c r="Y8" s="118"/>
      <c r="Z8" s="118"/>
      <c r="AA8" s="119"/>
    </row>
    <row r="9" spans="1:27" x14ac:dyDescent="0.25">
      <c r="B9" s="107" t="s">
        <v>38</v>
      </c>
      <c r="C9" s="115" t="s">
        <v>39</v>
      </c>
      <c r="D9" s="103"/>
      <c r="E9" s="309"/>
      <c r="F9" s="314" t="s">
        <v>30</v>
      </c>
      <c r="G9" s="314" t="s">
        <v>31</v>
      </c>
      <c r="H9" s="309" t="s">
        <v>31</v>
      </c>
      <c r="I9" s="309" t="s">
        <v>30</v>
      </c>
      <c r="J9" s="309"/>
      <c r="K9" s="309"/>
      <c r="L9" s="309"/>
      <c r="M9" s="316"/>
      <c r="N9" s="116"/>
      <c r="O9" s="116"/>
      <c r="P9" s="122"/>
      <c r="Q9" s="116"/>
      <c r="R9" s="116"/>
      <c r="S9" s="116"/>
      <c r="T9" s="116"/>
      <c r="U9" s="116"/>
      <c r="V9" s="116"/>
      <c r="W9" s="116"/>
      <c r="X9" s="116"/>
      <c r="Y9" s="118"/>
      <c r="Z9" s="118"/>
      <c r="AA9" s="119"/>
    </row>
    <row r="10" spans="1:27" x14ac:dyDescent="0.25">
      <c r="B10" s="104" t="s">
        <v>40</v>
      </c>
      <c r="C10" s="104" t="s">
        <v>41</v>
      </c>
      <c r="D10" s="104"/>
      <c r="E10" s="104"/>
      <c r="F10" s="313"/>
      <c r="G10" s="313" t="s">
        <v>31</v>
      </c>
      <c r="H10" s="104" t="s">
        <v>31</v>
      </c>
      <c r="I10" s="104"/>
      <c r="J10" s="104" t="s">
        <v>30</v>
      </c>
      <c r="K10" s="104"/>
      <c r="L10" s="104"/>
      <c r="M10" s="315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14"/>
    </row>
    <row r="11" spans="1:27" x14ac:dyDescent="0.25">
      <c r="B11" s="107" t="s">
        <v>42</v>
      </c>
      <c r="C11" s="115" t="s">
        <v>43</v>
      </c>
      <c r="D11" s="103"/>
      <c r="E11" s="309"/>
      <c r="F11" s="314"/>
      <c r="G11" s="314" t="s">
        <v>31</v>
      </c>
      <c r="H11" s="309" t="s">
        <v>31</v>
      </c>
      <c r="I11" s="309"/>
      <c r="J11" s="108"/>
      <c r="K11" s="309" t="s">
        <v>30</v>
      </c>
      <c r="L11" s="309"/>
      <c r="M11" s="316"/>
      <c r="N11" s="116"/>
      <c r="O11" s="116"/>
      <c r="P11" s="122"/>
      <c r="Q11" s="116"/>
      <c r="R11" s="116"/>
      <c r="S11" s="116"/>
      <c r="T11" s="116"/>
      <c r="U11" s="116"/>
      <c r="V11" s="116"/>
      <c r="W11" s="116"/>
      <c r="X11" s="116"/>
      <c r="Y11" s="118"/>
      <c r="Z11" s="118"/>
      <c r="AA11" s="119"/>
    </row>
    <row r="12" spans="1:27" ht="33" x14ac:dyDescent="0.25">
      <c r="B12" s="107" t="s">
        <v>44</v>
      </c>
      <c r="C12" s="115" t="s">
        <v>416</v>
      </c>
      <c r="D12" s="103"/>
      <c r="E12" s="309"/>
      <c r="F12" s="314"/>
      <c r="G12" s="314" t="s">
        <v>31</v>
      </c>
      <c r="H12" s="309" t="s">
        <v>31</v>
      </c>
      <c r="I12" s="309"/>
      <c r="J12" s="108"/>
      <c r="K12" s="309"/>
      <c r="L12" s="309" t="s">
        <v>30</v>
      </c>
      <c r="M12" s="316"/>
      <c r="N12" s="116"/>
      <c r="O12" s="116"/>
      <c r="P12" s="122"/>
      <c r="Q12" s="116"/>
      <c r="R12" s="116"/>
      <c r="S12" s="116"/>
      <c r="T12" s="116"/>
      <c r="U12" s="116"/>
      <c r="V12" s="116"/>
      <c r="W12" s="116"/>
      <c r="X12" s="116"/>
      <c r="Y12" s="118"/>
      <c r="Z12" s="118"/>
      <c r="AA12" s="119"/>
    </row>
    <row r="13" spans="1:27" x14ac:dyDescent="0.25">
      <c r="B13" s="107" t="s">
        <v>45</v>
      </c>
      <c r="C13" s="115" t="s">
        <v>46</v>
      </c>
      <c r="D13" s="103"/>
      <c r="E13" s="309"/>
      <c r="F13" s="314"/>
      <c r="G13" s="314" t="s">
        <v>31</v>
      </c>
      <c r="H13" s="309" t="s">
        <v>31</v>
      </c>
      <c r="I13" s="309" t="s">
        <v>30</v>
      </c>
      <c r="J13" s="309" t="s">
        <v>30</v>
      </c>
      <c r="K13" s="309" t="s">
        <v>30</v>
      </c>
      <c r="L13" s="309" t="s">
        <v>30</v>
      </c>
      <c r="M13" s="316" t="s">
        <v>30</v>
      </c>
      <c r="N13" s="116"/>
      <c r="O13" s="116"/>
      <c r="P13" s="122"/>
      <c r="Q13" s="116"/>
      <c r="R13" s="116"/>
      <c r="S13" s="116"/>
      <c r="T13" s="116"/>
      <c r="U13" s="116"/>
      <c r="V13" s="116"/>
      <c r="W13" s="116"/>
      <c r="X13" s="116"/>
      <c r="Y13" s="118"/>
      <c r="Z13" s="118"/>
      <c r="AA13" s="119"/>
    </row>
    <row r="14" spans="1:27" x14ac:dyDescent="0.25">
      <c r="B14" s="104" t="s">
        <v>47</v>
      </c>
      <c r="C14" s="104" t="s">
        <v>48</v>
      </c>
      <c r="D14" s="104"/>
      <c r="E14" s="104"/>
      <c r="F14" s="313"/>
      <c r="G14" s="313" t="s">
        <v>31</v>
      </c>
      <c r="H14" s="104" t="s">
        <v>31</v>
      </c>
      <c r="I14" s="104"/>
      <c r="J14" s="104"/>
      <c r="K14" s="104"/>
      <c r="L14" s="104"/>
      <c r="M14" s="331" t="s">
        <v>4</v>
      </c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14"/>
    </row>
    <row r="15" spans="1:27" x14ac:dyDescent="0.25">
      <c r="B15" s="107" t="s">
        <v>49</v>
      </c>
      <c r="C15" s="115" t="s">
        <v>50</v>
      </c>
      <c r="D15" s="103"/>
      <c r="E15" s="309"/>
      <c r="F15" s="314"/>
      <c r="G15" s="314" t="s">
        <v>31</v>
      </c>
      <c r="H15" s="309" t="s">
        <v>31</v>
      </c>
      <c r="I15" s="309"/>
      <c r="J15" s="108"/>
      <c r="K15" s="309"/>
      <c r="L15" s="309" t="s">
        <v>30</v>
      </c>
      <c r="M15" s="316" t="s">
        <v>30</v>
      </c>
      <c r="N15" s="116"/>
      <c r="O15" s="116"/>
      <c r="P15" s="122"/>
      <c r="Q15" s="116"/>
      <c r="R15" s="116"/>
      <c r="S15" s="116"/>
      <c r="T15" s="116"/>
      <c r="U15" s="116"/>
      <c r="V15" s="116"/>
      <c r="W15" s="116"/>
      <c r="X15" s="116"/>
      <c r="Y15" s="118"/>
      <c r="Z15" s="118"/>
      <c r="AA15" s="119"/>
    </row>
    <row r="16" spans="1:27" x14ac:dyDescent="0.25">
      <c r="B16" s="107" t="s">
        <v>51</v>
      </c>
      <c r="C16" s="115" t="s">
        <v>52</v>
      </c>
      <c r="D16" s="103"/>
      <c r="E16" s="309"/>
      <c r="F16" s="314"/>
      <c r="G16" s="314" t="s">
        <v>31</v>
      </c>
      <c r="H16" s="309" t="s">
        <v>31</v>
      </c>
      <c r="I16" s="309"/>
      <c r="J16" s="108"/>
      <c r="K16" s="309"/>
      <c r="L16" s="309"/>
      <c r="M16" s="316" t="s">
        <v>30</v>
      </c>
      <c r="N16" s="116"/>
      <c r="O16" s="116"/>
      <c r="P16" s="122"/>
      <c r="Q16" s="116"/>
      <c r="R16" s="116"/>
      <c r="S16" s="116"/>
      <c r="T16" s="116"/>
      <c r="U16" s="116"/>
      <c r="V16" s="116"/>
      <c r="W16" s="116"/>
      <c r="X16" s="116"/>
      <c r="Y16" s="118"/>
      <c r="Z16" s="118"/>
      <c r="AA16" s="119"/>
    </row>
    <row r="17" spans="2:27" x14ac:dyDescent="0.25">
      <c r="B17" s="107"/>
      <c r="C17" s="115"/>
      <c r="D17" s="103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22"/>
      <c r="Q17" s="116"/>
      <c r="R17" s="116"/>
      <c r="S17" s="116"/>
      <c r="T17" s="116"/>
      <c r="U17" s="116"/>
      <c r="V17" s="116"/>
      <c r="W17" s="116"/>
      <c r="X17" s="116"/>
      <c r="Y17" s="118"/>
      <c r="Z17" s="118"/>
      <c r="AA17" s="119"/>
    </row>
    <row r="18" spans="2:27" x14ac:dyDescent="0.25"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14"/>
    </row>
    <row r="19" spans="2:27" x14ac:dyDescent="0.25">
      <c r="B19" s="107"/>
      <c r="C19" s="115"/>
      <c r="D19" s="103"/>
      <c r="E19" s="116"/>
      <c r="F19" s="116"/>
      <c r="G19" s="116"/>
      <c r="H19" s="116"/>
      <c r="I19" s="116"/>
      <c r="J19" s="108"/>
      <c r="K19" s="116"/>
      <c r="L19" s="116"/>
      <c r="M19" s="116"/>
      <c r="N19" s="116"/>
      <c r="O19" s="116"/>
      <c r="P19" s="122"/>
      <c r="Q19" s="116"/>
      <c r="R19" s="116"/>
      <c r="S19" s="116"/>
      <c r="T19" s="116"/>
      <c r="U19" s="116"/>
      <c r="V19" s="116"/>
      <c r="W19" s="116"/>
      <c r="X19" s="116"/>
      <c r="Y19" s="118"/>
      <c r="Z19" s="118"/>
      <c r="AA19" s="119"/>
    </row>
    <row r="20" spans="2:27" x14ac:dyDescent="0.25">
      <c r="B20" s="107"/>
      <c r="C20" s="115"/>
      <c r="D20" s="103"/>
      <c r="E20" s="116"/>
      <c r="F20" s="116"/>
      <c r="G20" s="116"/>
      <c r="H20" s="116"/>
      <c r="I20" s="116"/>
      <c r="J20" s="108"/>
      <c r="K20" s="116"/>
      <c r="L20" s="116"/>
      <c r="M20" s="116"/>
      <c r="N20" s="116"/>
      <c r="O20" s="116"/>
      <c r="P20" s="122"/>
      <c r="Q20" s="116"/>
      <c r="R20" s="116"/>
      <c r="S20" s="116"/>
      <c r="T20" s="116"/>
      <c r="U20" s="116"/>
      <c r="V20" s="116"/>
      <c r="W20" s="116"/>
      <c r="X20" s="116"/>
      <c r="Y20" s="118"/>
      <c r="Z20" s="118"/>
      <c r="AA20" s="119"/>
    </row>
    <row r="21" spans="2:27" x14ac:dyDescent="0.25">
      <c r="B21" s="107"/>
      <c r="C21" s="115"/>
      <c r="D21" s="103"/>
      <c r="E21" s="103"/>
      <c r="F21" s="103"/>
      <c r="G21" s="103"/>
      <c r="H21" s="103"/>
      <c r="I21" s="103"/>
      <c r="J21" s="103"/>
      <c r="K21" s="123"/>
      <c r="L21" s="123"/>
      <c r="M21" s="123"/>
      <c r="N21" s="123"/>
      <c r="O21" s="123"/>
      <c r="P21" s="124"/>
      <c r="Q21" s="103"/>
      <c r="R21" s="103"/>
      <c r="S21" s="103"/>
      <c r="T21" s="103"/>
      <c r="U21" s="103"/>
      <c r="V21" s="103"/>
      <c r="W21" s="103"/>
      <c r="X21" s="103"/>
      <c r="AA21" s="114"/>
    </row>
    <row r="22" spans="2:27" x14ac:dyDescent="0.25">
      <c r="B22" s="107"/>
      <c r="C22" s="115"/>
      <c r="D22" s="103"/>
      <c r="E22" s="103"/>
      <c r="F22" s="103"/>
      <c r="G22" s="103"/>
      <c r="H22" s="103"/>
      <c r="I22" s="103"/>
      <c r="J22" s="103"/>
      <c r="K22" s="123"/>
      <c r="L22" s="123"/>
      <c r="M22" s="123"/>
      <c r="N22" s="123"/>
      <c r="O22" s="123"/>
      <c r="P22" s="124"/>
      <c r="Q22" s="103"/>
      <c r="R22" s="103"/>
      <c r="S22" s="103"/>
      <c r="T22" s="103"/>
      <c r="U22" s="103"/>
      <c r="V22" s="103"/>
      <c r="W22" s="103"/>
      <c r="X22" s="103"/>
      <c r="AA22" s="114"/>
    </row>
    <row r="23" spans="2:27" x14ac:dyDescent="0.25">
      <c r="B23" s="107"/>
      <c r="C23" s="115"/>
      <c r="D23" s="103"/>
      <c r="E23" s="103"/>
      <c r="F23" s="103"/>
      <c r="G23" s="103"/>
      <c r="H23" s="103"/>
      <c r="I23" s="103"/>
      <c r="J23" s="103"/>
      <c r="K23" s="123"/>
      <c r="L23" s="123"/>
      <c r="M23" s="123"/>
      <c r="N23" s="123"/>
      <c r="O23" s="123"/>
      <c r="P23" s="124"/>
      <c r="Q23" s="103"/>
      <c r="R23" s="103"/>
      <c r="S23" s="103"/>
      <c r="T23" s="103"/>
      <c r="U23" s="103"/>
      <c r="V23" s="103"/>
      <c r="W23" s="103"/>
      <c r="X23" s="103"/>
      <c r="AA23" s="114"/>
    </row>
    <row r="24" spans="2:27" x14ac:dyDescent="0.25">
      <c r="B24" s="107"/>
      <c r="C24" s="115"/>
      <c r="D24" s="103"/>
      <c r="E24" s="103"/>
      <c r="F24" s="103"/>
      <c r="G24" s="103"/>
      <c r="H24" s="103"/>
      <c r="I24" s="103"/>
      <c r="J24" s="103"/>
      <c r="K24" s="123"/>
      <c r="L24" s="123"/>
      <c r="M24" s="123"/>
      <c r="N24" s="123"/>
      <c r="O24" s="123"/>
      <c r="P24" s="124"/>
      <c r="Q24" s="103"/>
      <c r="R24" s="103"/>
      <c r="S24" s="103"/>
      <c r="T24" s="103"/>
      <c r="U24" s="103"/>
      <c r="V24" s="103"/>
      <c r="W24" s="103"/>
      <c r="X24" s="103"/>
      <c r="AA24" s="114"/>
    </row>
    <row r="25" spans="2:27" x14ac:dyDescent="0.25">
      <c r="B25" s="107"/>
      <c r="C25" s="115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24"/>
      <c r="Q25" s="103"/>
      <c r="R25" s="123"/>
      <c r="S25" s="123"/>
      <c r="T25" s="123"/>
      <c r="U25" s="103"/>
      <c r="V25" s="103"/>
      <c r="W25" s="103"/>
      <c r="X25" s="103"/>
      <c r="AA25" s="114"/>
    </row>
    <row r="26" spans="2:27" x14ac:dyDescent="0.25">
      <c r="B26" s="107"/>
      <c r="C26" s="115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24"/>
      <c r="Q26" s="103"/>
      <c r="R26" s="123"/>
      <c r="S26" s="123"/>
      <c r="T26" s="123"/>
      <c r="U26" s="103"/>
      <c r="V26" s="103"/>
      <c r="W26" s="103"/>
      <c r="X26" s="103"/>
      <c r="AA26" s="114"/>
    </row>
    <row r="27" spans="2:27" x14ac:dyDescent="0.25">
      <c r="B27" s="107"/>
      <c r="C27" s="115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25"/>
      <c r="Q27" s="123"/>
      <c r="R27" s="123"/>
      <c r="S27" s="123"/>
      <c r="T27" s="103"/>
      <c r="U27" s="103"/>
      <c r="V27" s="103"/>
      <c r="W27" s="103"/>
      <c r="X27" s="103"/>
      <c r="AA27" s="114"/>
    </row>
    <row r="28" spans="2:27" x14ac:dyDescent="0.25">
      <c r="B28" s="109"/>
      <c r="C28" s="126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26"/>
      <c r="P28" s="110"/>
      <c r="Q28" s="110"/>
      <c r="R28" s="110"/>
      <c r="S28" s="110"/>
      <c r="T28" s="110"/>
      <c r="U28" s="110"/>
      <c r="V28" s="110"/>
      <c r="W28" s="110"/>
      <c r="X28" s="110"/>
      <c r="Y28" s="120"/>
      <c r="Z28" s="120"/>
      <c r="AA28" s="127"/>
    </row>
    <row r="29" spans="2:27" x14ac:dyDescent="0.25">
      <c r="B29" s="107"/>
      <c r="C29" s="115"/>
      <c r="D29" s="103"/>
      <c r="E29" s="103"/>
      <c r="F29" s="103"/>
      <c r="G29" s="103"/>
      <c r="H29" s="103"/>
      <c r="I29" s="103"/>
      <c r="J29" s="103"/>
      <c r="K29" s="103"/>
      <c r="L29" s="123"/>
      <c r="M29" s="123"/>
      <c r="N29" s="123"/>
      <c r="O29" s="103"/>
      <c r="P29" s="124"/>
      <c r="Q29" s="103"/>
      <c r="R29" s="103"/>
      <c r="S29" s="103"/>
      <c r="T29" s="103"/>
      <c r="U29" s="103"/>
      <c r="V29" s="103"/>
      <c r="W29" s="103"/>
      <c r="X29" s="103"/>
      <c r="AA29" s="114"/>
    </row>
    <row r="30" spans="2:27" x14ac:dyDescent="0.25">
      <c r="B30" s="109"/>
      <c r="C30" s="126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28"/>
      <c r="Q30" s="110"/>
      <c r="R30" s="110"/>
      <c r="S30" s="110"/>
      <c r="T30" s="110"/>
      <c r="U30" s="110"/>
      <c r="V30" s="110"/>
      <c r="W30" s="110"/>
      <c r="X30" s="110"/>
      <c r="Y30" s="120"/>
      <c r="Z30" s="120"/>
      <c r="AA30" s="127"/>
    </row>
    <row r="31" spans="2:27" x14ac:dyDescent="0.25">
      <c r="B31" s="107"/>
      <c r="C31" s="115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23"/>
      <c r="O31" s="123"/>
      <c r="P31" s="125"/>
      <c r="Q31" s="123"/>
      <c r="R31" s="103"/>
      <c r="S31" s="103"/>
      <c r="T31" s="103"/>
      <c r="U31" s="103"/>
      <c r="V31" s="103"/>
      <c r="W31" s="103"/>
      <c r="X31" s="103"/>
      <c r="AA31" s="114"/>
    </row>
    <row r="32" spans="2:27" x14ac:dyDescent="0.25">
      <c r="B32" s="129"/>
      <c r="C32" s="130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132"/>
      <c r="O32" s="132"/>
      <c r="P32" s="133"/>
      <c r="Q32" s="131"/>
      <c r="R32" s="131"/>
      <c r="S32" s="131"/>
      <c r="T32" s="131"/>
      <c r="U32" s="131"/>
      <c r="V32" s="131"/>
      <c r="W32" s="131"/>
      <c r="X32" s="131"/>
      <c r="Y32" s="134"/>
      <c r="Z32" s="134"/>
      <c r="AA32" s="135"/>
    </row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topLeftCell="A10" workbookViewId="0">
      <selection activeCell="B28" sqref="B28"/>
    </sheetView>
  </sheetViews>
  <sheetFormatPr defaultColWidth="12.625" defaultRowHeight="16.5" x14ac:dyDescent="0.25"/>
  <cols>
    <col min="1" max="1" width="21.125" style="2" bestFit="1" customWidth="1"/>
    <col min="2" max="2" width="98" style="2" bestFit="1" customWidth="1"/>
    <col min="3" max="3" width="3" style="2" customWidth="1"/>
    <col min="4" max="4" width="20.75" style="2" bestFit="1" customWidth="1"/>
    <col min="5" max="5" width="73.25" style="2" bestFit="1" customWidth="1"/>
    <col min="6" max="26" width="8.875" style="2" customWidth="1"/>
    <col min="27" max="16384" width="12.625" style="2"/>
  </cols>
  <sheetData>
    <row r="1" spans="1:5" ht="20.25" x14ac:dyDescent="0.25">
      <c r="A1" s="350" t="s">
        <v>53</v>
      </c>
      <c r="B1" s="351"/>
      <c r="C1" s="351"/>
      <c r="D1" s="351"/>
      <c r="E1" s="352"/>
    </row>
    <row r="2" spans="1:5" x14ac:dyDescent="0.25">
      <c r="A2" s="177" t="s">
        <v>54</v>
      </c>
      <c r="B2" s="168" t="s">
        <v>55</v>
      </c>
      <c r="C2" s="163"/>
      <c r="D2" s="163"/>
      <c r="E2" s="164"/>
    </row>
    <row r="3" spans="1:5" x14ac:dyDescent="0.25">
      <c r="A3" s="177" t="s">
        <v>56</v>
      </c>
      <c r="B3" s="168" t="s">
        <v>57</v>
      </c>
      <c r="C3" s="163"/>
      <c r="D3" s="163"/>
      <c r="E3" s="164"/>
    </row>
    <row r="4" spans="1:5" x14ac:dyDescent="0.25">
      <c r="A4" s="177" t="s">
        <v>58</v>
      </c>
      <c r="B4" s="3" t="s">
        <v>59</v>
      </c>
      <c r="C4" s="163"/>
      <c r="D4" s="163"/>
      <c r="E4" s="164"/>
    </row>
    <row r="5" spans="1:5" x14ac:dyDescent="0.25">
      <c r="A5" s="177" t="s">
        <v>60</v>
      </c>
      <c r="B5" s="3" t="s">
        <v>61</v>
      </c>
      <c r="C5" s="163"/>
      <c r="D5" s="163"/>
      <c r="E5" s="164"/>
    </row>
    <row r="6" spans="1:5" x14ac:dyDescent="0.25">
      <c r="A6" s="177" t="s">
        <v>62</v>
      </c>
      <c r="B6" s="3" t="s">
        <v>61</v>
      </c>
      <c r="C6" s="163"/>
      <c r="D6" s="163"/>
      <c r="E6" s="164"/>
    </row>
    <row r="7" spans="1:5" x14ac:dyDescent="0.25">
      <c r="A7" s="177" t="s">
        <v>63</v>
      </c>
      <c r="B7" s="3" t="s">
        <v>64</v>
      </c>
      <c r="C7" s="163"/>
      <c r="D7" s="163"/>
      <c r="E7" s="164"/>
    </row>
    <row r="8" spans="1:5" x14ac:dyDescent="0.25">
      <c r="A8" s="177" t="s">
        <v>65</v>
      </c>
      <c r="B8" s="51">
        <v>46211</v>
      </c>
      <c r="C8" s="164"/>
      <c r="D8" s="179" t="s">
        <v>66</v>
      </c>
      <c r="E8" s="51">
        <v>46220</v>
      </c>
    </row>
    <row r="9" spans="1:5" ht="33" x14ac:dyDescent="0.25">
      <c r="A9" s="177" t="s">
        <v>67</v>
      </c>
      <c r="B9" s="3" t="s">
        <v>68</v>
      </c>
      <c r="C9" s="163"/>
      <c r="D9" s="180"/>
      <c r="E9" s="164"/>
    </row>
    <row r="10" spans="1:5" ht="33" x14ac:dyDescent="0.25">
      <c r="A10" s="177" t="s">
        <v>69</v>
      </c>
      <c r="B10" s="3" t="s">
        <v>70</v>
      </c>
      <c r="C10" s="164"/>
      <c r="D10" s="179" t="s">
        <v>71</v>
      </c>
      <c r="E10" s="3" t="s">
        <v>72</v>
      </c>
    </row>
    <row r="11" spans="1:5" ht="33" x14ac:dyDescent="0.25">
      <c r="A11" s="177" t="s">
        <v>73</v>
      </c>
      <c r="B11" s="170" t="s">
        <v>74</v>
      </c>
      <c r="C11" s="158"/>
      <c r="D11" s="179" t="s">
        <v>63</v>
      </c>
      <c r="E11" s="3" t="s">
        <v>75</v>
      </c>
    </row>
    <row r="12" spans="1:5" x14ac:dyDescent="0.25">
      <c r="A12" s="178"/>
      <c r="B12" s="161"/>
      <c r="C12" s="171"/>
      <c r="D12" s="181"/>
      <c r="E12" s="167"/>
    </row>
    <row r="13" spans="1:5" ht="33" x14ac:dyDescent="0.25">
      <c r="A13" s="177" t="s">
        <v>76</v>
      </c>
      <c r="B13" s="3" t="s">
        <v>77</v>
      </c>
      <c r="C13" s="163"/>
      <c r="D13" s="180" t="s">
        <v>78</v>
      </c>
      <c r="E13" s="164" t="s">
        <v>79</v>
      </c>
    </row>
    <row r="14" spans="1:5" x14ac:dyDescent="0.25">
      <c r="A14" s="169"/>
      <c r="B14" s="159"/>
      <c r="E14" s="160"/>
    </row>
    <row r="15" spans="1:5" x14ac:dyDescent="0.25">
      <c r="A15" s="167"/>
      <c r="B15" s="161"/>
      <c r="C15" s="162"/>
      <c r="D15" s="162"/>
      <c r="E15" s="156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0"/>
  <sheetViews>
    <sheetView showGridLines="0" workbookViewId="0">
      <selection activeCell="H16" sqref="H16"/>
    </sheetView>
  </sheetViews>
  <sheetFormatPr defaultColWidth="12.625" defaultRowHeight="16.5" x14ac:dyDescent="0.25"/>
  <cols>
    <col min="1" max="1" width="9.875" style="2" bestFit="1" customWidth="1"/>
    <col min="2" max="2" width="36.125" style="2" bestFit="1" customWidth="1"/>
    <col min="3" max="3" width="11.375" style="2" bestFit="1" customWidth="1"/>
    <col min="4" max="4" width="13.25" style="2" bestFit="1" customWidth="1"/>
    <col min="5" max="5" width="17.75" style="2" bestFit="1" customWidth="1"/>
    <col min="6" max="6" width="28.625" style="2" bestFit="1" customWidth="1"/>
    <col min="7" max="7" width="40.75" style="2" bestFit="1" customWidth="1"/>
    <col min="8" max="8" width="12.5" style="197" bestFit="1" customWidth="1"/>
    <col min="9" max="39" width="3.125" style="2" customWidth="1"/>
    <col min="40" max="40" width="9" style="2" customWidth="1"/>
    <col min="41" max="41" width="10.625" style="2" customWidth="1"/>
    <col min="42" max="16384" width="12.625" style="2"/>
  </cols>
  <sheetData>
    <row r="1" spans="1:41" ht="20.25" x14ac:dyDescent="0.3">
      <c r="A1" s="348" t="s">
        <v>80</v>
      </c>
      <c r="B1" s="353"/>
      <c r="C1" s="353"/>
      <c r="D1" s="353"/>
      <c r="E1" s="353"/>
      <c r="F1" s="353"/>
      <c r="G1" s="354"/>
      <c r="H1" s="353"/>
      <c r="AO1" s="303"/>
    </row>
    <row r="2" spans="1:41" x14ac:dyDescent="0.25">
      <c r="A2" s="282" t="s">
        <v>81</v>
      </c>
      <c r="B2" s="2" t="s">
        <v>82</v>
      </c>
      <c r="D2" s="2" t="s">
        <v>83</v>
      </c>
      <c r="E2" s="2">
        <v>5</v>
      </c>
      <c r="G2" s="2" t="s">
        <v>8</v>
      </c>
      <c r="H2" s="2" t="s">
        <v>9</v>
      </c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O2" s="303"/>
    </row>
    <row r="3" spans="1:41" ht="28.5" x14ac:dyDescent="0.25">
      <c r="A3" s="283" t="s">
        <v>84</v>
      </c>
      <c r="B3" s="283" t="s">
        <v>85</v>
      </c>
      <c r="C3" s="283"/>
      <c r="D3" s="283" t="s">
        <v>86</v>
      </c>
      <c r="E3" s="283" t="s">
        <v>87</v>
      </c>
      <c r="F3" s="283"/>
      <c r="G3" s="284" t="s">
        <v>10</v>
      </c>
      <c r="H3" s="197" t="s">
        <v>11</v>
      </c>
      <c r="AO3" s="303"/>
    </row>
    <row r="4" spans="1:41" ht="49.5" x14ac:dyDescent="0.25">
      <c r="A4" s="285" t="s">
        <v>88</v>
      </c>
      <c r="B4" s="157" t="s">
        <v>89</v>
      </c>
      <c r="C4" s="157"/>
      <c r="D4" s="157"/>
      <c r="E4" s="157"/>
      <c r="F4" s="157"/>
      <c r="G4" s="158"/>
      <c r="H4" s="286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3"/>
      <c r="AF4" s="286"/>
      <c r="AG4" s="332"/>
      <c r="AH4" s="332"/>
      <c r="AI4" s="332"/>
      <c r="AJ4" s="332"/>
      <c r="AK4" s="332"/>
      <c r="AL4" s="332"/>
      <c r="AM4" s="333"/>
    </row>
    <row r="5" spans="1:41" x14ac:dyDescent="0.25">
      <c r="A5" s="161"/>
      <c r="B5" s="287"/>
      <c r="C5" s="287"/>
      <c r="D5" s="287"/>
      <c r="E5" s="287"/>
      <c r="F5" s="287"/>
      <c r="G5" s="171"/>
      <c r="H5" s="161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56"/>
      <c r="AF5" s="161"/>
      <c r="AG5" s="162"/>
      <c r="AH5" s="162"/>
      <c r="AI5" s="162"/>
      <c r="AJ5" s="162"/>
      <c r="AK5" s="162"/>
      <c r="AL5" s="162"/>
      <c r="AM5" s="156"/>
    </row>
    <row r="6" spans="1:41" x14ac:dyDescent="0.25">
      <c r="A6" s="194" t="s">
        <v>16</v>
      </c>
      <c r="B6" s="194" t="s">
        <v>90</v>
      </c>
      <c r="C6" s="194" t="s">
        <v>91</v>
      </c>
      <c r="D6" s="194" t="s">
        <v>92</v>
      </c>
      <c r="E6" s="194" t="s">
        <v>93</v>
      </c>
      <c r="F6" s="268" t="s">
        <v>94</v>
      </c>
      <c r="G6" s="269" t="s">
        <v>95</v>
      </c>
      <c r="H6" s="182" t="s">
        <v>8</v>
      </c>
      <c r="I6" s="165"/>
      <c r="J6" s="165"/>
      <c r="K6" s="166"/>
      <c r="L6" s="286"/>
      <c r="M6" s="165"/>
      <c r="N6" s="165"/>
      <c r="O6" s="166"/>
      <c r="P6" s="286"/>
      <c r="Q6" s="165"/>
      <c r="R6" s="165"/>
      <c r="S6" s="166"/>
      <c r="T6" s="286"/>
      <c r="U6" s="165"/>
      <c r="V6" s="165"/>
      <c r="W6" s="166"/>
      <c r="X6" s="286"/>
      <c r="Y6" s="165"/>
      <c r="Z6" s="165"/>
      <c r="AA6" s="166"/>
      <c r="AB6" s="286"/>
      <c r="AC6" s="165"/>
      <c r="AD6" s="165"/>
      <c r="AE6" s="166"/>
      <c r="AF6" s="286"/>
      <c r="AG6" s="165"/>
      <c r="AH6" s="165"/>
      <c r="AI6" s="166"/>
      <c r="AJ6" s="286"/>
      <c r="AK6" s="165"/>
      <c r="AL6" s="165"/>
      <c r="AM6" s="166"/>
    </row>
    <row r="7" spans="1:41" x14ac:dyDescent="0.25">
      <c r="A7" s="167" t="s">
        <v>96</v>
      </c>
      <c r="B7" s="167" t="s">
        <v>97</v>
      </c>
      <c r="C7" s="279">
        <v>46211</v>
      </c>
      <c r="D7" s="271">
        <v>46211</v>
      </c>
      <c r="E7" s="270" t="s">
        <v>61</v>
      </c>
      <c r="F7" s="270" t="s">
        <v>98</v>
      </c>
      <c r="G7" s="271" t="s">
        <v>99</v>
      </c>
      <c r="H7" s="280" t="s">
        <v>100</v>
      </c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272"/>
      <c r="AL7" s="272"/>
      <c r="AM7" s="272"/>
    </row>
    <row r="8" spans="1:41" x14ac:dyDescent="0.25">
      <c r="A8" s="273" t="s">
        <v>101</v>
      </c>
      <c r="B8" s="163" t="s">
        <v>102</v>
      </c>
      <c r="C8" s="274">
        <v>46211</v>
      </c>
      <c r="D8" s="274">
        <v>46212</v>
      </c>
      <c r="E8" s="163" t="s">
        <v>61</v>
      </c>
      <c r="F8" s="163" t="s">
        <v>103</v>
      </c>
      <c r="G8" s="274" t="s">
        <v>104</v>
      </c>
      <c r="H8" s="281" t="s">
        <v>100</v>
      </c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</row>
    <row r="9" spans="1:41" ht="33" x14ac:dyDescent="0.25">
      <c r="A9" s="275" t="s">
        <v>105</v>
      </c>
      <c r="B9" s="275" t="s">
        <v>106</v>
      </c>
      <c r="C9" s="276">
        <v>46211</v>
      </c>
      <c r="D9" s="276">
        <v>46213</v>
      </c>
      <c r="E9" s="275" t="s">
        <v>107</v>
      </c>
      <c r="F9" s="275" t="s">
        <v>108</v>
      </c>
      <c r="G9" s="276" t="s">
        <v>109</v>
      </c>
      <c r="H9" s="280" t="s">
        <v>100</v>
      </c>
      <c r="I9" s="278"/>
      <c r="J9" s="278"/>
      <c r="K9" s="278"/>
      <c r="L9" s="278"/>
      <c r="M9" s="278"/>
      <c r="N9" s="272"/>
      <c r="O9" s="272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</row>
    <row r="10" spans="1:41" ht="33" x14ac:dyDescent="0.25">
      <c r="A10" s="275" t="s">
        <v>110</v>
      </c>
      <c r="B10" s="275" t="s">
        <v>111</v>
      </c>
      <c r="C10" s="276">
        <v>46212</v>
      </c>
      <c r="D10" s="276">
        <v>46213</v>
      </c>
      <c r="E10" s="275" t="s">
        <v>61</v>
      </c>
      <c r="F10" s="275" t="s">
        <v>112</v>
      </c>
      <c r="G10" s="276" t="s">
        <v>113</v>
      </c>
      <c r="H10" s="280" t="s">
        <v>100</v>
      </c>
      <c r="I10" s="277"/>
      <c r="J10" s="278"/>
      <c r="K10" s="278"/>
      <c r="L10" s="278"/>
      <c r="M10" s="278"/>
      <c r="N10" s="272"/>
      <c r="O10" s="272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</row>
    <row r="11" spans="1:41" ht="33" x14ac:dyDescent="0.25">
      <c r="A11" s="275" t="s">
        <v>114</v>
      </c>
      <c r="B11" s="275" t="s">
        <v>115</v>
      </c>
      <c r="C11" s="276">
        <v>46213</v>
      </c>
      <c r="D11" s="276">
        <v>46216</v>
      </c>
      <c r="E11" s="275" t="s">
        <v>61</v>
      </c>
      <c r="F11" s="275" t="s">
        <v>112</v>
      </c>
      <c r="G11" s="276" t="s">
        <v>116</v>
      </c>
      <c r="H11" s="280" t="s">
        <v>100</v>
      </c>
      <c r="I11" s="277"/>
      <c r="J11" s="278"/>
      <c r="K11" s="278"/>
      <c r="L11" s="278"/>
      <c r="M11" s="278"/>
      <c r="N11" s="272"/>
      <c r="O11" s="272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</row>
    <row r="12" spans="1:41" x14ac:dyDescent="0.25">
      <c r="A12" s="275" t="s">
        <v>117</v>
      </c>
      <c r="B12" s="275" t="s">
        <v>118</v>
      </c>
      <c r="C12" s="276">
        <v>46217</v>
      </c>
      <c r="D12" s="276">
        <v>46218</v>
      </c>
      <c r="E12" s="275" t="s">
        <v>119</v>
      </c>
      <c r="F12" s="275" t="s">
        <v>120</v>
      </c>
      <c r="G12" s="276" t="s">
        <v>121</v>
      </c>
      <c r="H12" s="280" t="s">
        <v>100</v>
      </c>
      <c r="I12" s="277"/>
      <c r="J12" s="277"/>
      <c r="K12" s="277"/>
      <c r="L12" s="278"/>
      <c r="M12" s="278"/>
      <c r="N12" s="272"/>
      <c r="O12" s="272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</row>
    <row r="13" spans="1:41" x14ac:dyDescent="0.25">
      <c r="A13" s="275" t="s">
        <v>122</v>
      </c>
      <c r="B13" s="275" t="s">
        <v>123</v>
      </c>
      <c r="C13" s="276">
        <v>46219</v>
      </c>
      <c r="D13" s="276">
        <v>46219</v>
      </c>
      <c r="E13" s="275" t="s">
        <v>119</v>
      </c>
      <c r="F13" s="275" t="s">
        <v>124</v>
      </c>
      <c r="G13" s="276" t="s">
        <v>125</v>
      </c>
      <c r="H13" s="280" t="s">
        <v>100</v>
      </c>
      <c r="I13" s="277"/>
      <c r="J13" s="277"/>
      <c r="K13" s="277"/>
      <c r="L13" s="278"/>
      <c r="M13" s="278"/>
      <c r="N13" s="272"/>
      <c r="O13" s="272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</row>
    <row r="14" spans="1:41" ht="33" x14ac:dyDescent="0.25">
      <c r="A14" s="275" t="s">
        <v>126</v>
      </c>
      <c r="B14" s="275" t="s">
        <v>127</v>
      </c>
      <c r="C14" s="276">
        <v>46219</v>
      </c>
      <c r="D14" s="276">
        <v>46220</v>
      </c>
      <c r="E14" s="275" t="s">
        <v>103</v>
      </c>
      <c r="F14" s="275" t="s">
        <v>98</v>
      </c>
      <c r="G14" s="276" t="s">
        <v>128</v>
      </c>
      <c r="H14" s="280" t="s">
        <v>100</v>
      </c>
      <c r="I14" s="277"/>
      <c r="J14" s="277"/>
      <c r="K14" s="277"/>
      <c r="L14" s="278"/>
      <c r="M14" s="278"/>
      <c r="N14" s="272"/>
      <c r="O14" s="272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</row>
    <row r="15" spans="1:41" x14ac:dyDescent="0.25">
      <c r="A15" s="275" t="s">
        <v>129</v>
      </c>
      <c r="B15" s="275" t="s">
        <v>130</v>
      </c>
      <c r="C15" s="276">
        <v>46220</v>
      </c>
      <c r="D15" s="276">
        <v>46220</v>
      </c>
      <c r="E15" s="275" t="s">
        <v>61</v>
      </c>
      <c r="F15" s="275" t="s">
        <v>107</v>
      </c>
      <c r="G15" s="276" t="s">
        <v>131</v>
      </c>
      <c r="H15" s="280" t="s">
        <v>100</v>
      </c>
      <c r="I15" s="278"/>
      <c r="J15" s="277"/>
      <c r="K15" s="277"/>
      <c r="L15" s="278"/>
      <c r="M15" s="278"/>
      <c r="N15" s="272"/>
      <c r="O15" s="272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</row>
    <row r="16" spans="1:41" x14ac:dyDescent="0.25">
      <c r="A16" s="273"/>
      <c r="B16" s="163"/>
      <c r="C16" s="163"/>
      <c r="D16" s="163"/>
      <c r="E16" s="163"/>
      <c r="F16" s="163"/>
      <c r="G16" s="274"/>
      <c r="H16" s="163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</row>
    <row r="17" spans="1:39" ht="49.5" x14ac:dyDescent="0.25">
      <c r="A17" s="288" t="s">
        <v>132</v>
      </c>
      <c r="B17" s="288"/>
      <c r="C17" s="289"/>
      <c r="D17" s="288"/>
      <c r="E17" s="288"/>
      <c r="F17" s="288"/>
      <c r="G17" s="290"/>
      <c r="H17" s="288"/>
      <c r="I17" s="278"/>
      <c r="J17" s="278"/>
      <c r="K17" s="278"/>
      <c r="L17" s="278"/>
      <c r="M17" s="278"/>
      <c r="N17" s="272"/>
      <c r="O17" s="272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</row>
    <row r="18" spans="1:39" ht="33" x14ac:dyDescent="0.25">
      <c r="A18" s="291" t="s">
        <v>28</v>
      </c>
      <c r="B18" s="292" t="s">
        <v>133</v>
      </c>
      <c r="C18" s="293"/>
      <c r="D18" s="292"/>
      <c r="E18" s="292"/>
      <c r="F18" s="292"/>
      <c r="G18" s="294"/>
      <c r="H18" s="280" t="s">
        <v>134</v>
      </c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8"/>
      <c r="AG18" s="278"/>
      <c r="AH18" s="278"/>
      <c r="AI18" s="278"/>
      <c r="AJ18" s="278"/>
      <c r="AK18" s="278"/>
      <c r="AL18" s="278"/>
      <c r="AM18" s="278"/>
    </row>
    <row r="19" spans="1:39" ht="33" x14ac:dyDescent="0.25">
      <c r="A19" s="295" t="s">
        <v>32</v>
      </c>
      <c r="B19" s="296" t="s">
        <v>135</v>
      </c>
      <c r="C19" s="297"/>
      <c r="D19" s="296"/>
      <c r="E19" s="296"/>
      <c r="F19" s="296"/>
      <c r="G19" s="298"/>
      <c r="H19" s="280" t="s">
        <v>134</v>
      </c>
      <c r="I19" s="278"/>
      <c r="J19" s="278"/>
      <c r="K19" s="278"/>
      <c r="L19" s="278"/>
      <c r="M19" s="278"/>
      <c r="N19" s="272"/>
      <c r="O19" s="272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</row>
    <row r="20" spans="1:39" ht="33" x14ac:dyDescent="0.25">
      <c r="A20" s="299" t="s">
        <v>34</v>
      </c>
      <c r="B20" s="300" t="s">
        <v>136</v>
      </c>
      <c r="C20" s="301"/>
      <c r="D20" s="300"/>
      <c r="E20" s="300"/>
      <c r="F20" s="300"/>
      <c r="G20" s="302"/>
      <c r="H20" s="280" t="s">
        <v>134</v>
      </c>
      <c r="I20" s="278"/>
      <c r="J20" s="278"/>
      <c r="K20" s="278"/>
      <c r="L20" s="278"/>
      <c r="M20" s="278"/>
      <c r="N20" s="272"/>
      <c r="O20" s="272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</row>
    <row r="21" spans="1:39" ht="33" x14ac:dyDescent="0.25">
      <c r="A21" s="303" t="s">
        <v>36</v>
      </c>
      <c r="B21" s="303" t="s">
        <v>137</v>
      </c>
      <c r="C21" s="304"/>
      <c r="D21" s="303"/>
      <c r="E21" s="303"/>
      <c r="F21" s="303"/>
      <c r="G21" s="305"/>
      <c r="H21" s="280" t="s">
        <v>134</v>
      </c>
      <c r="I21" s="278"/>
      <c r="J21" s="278"/>
      <c r="K21" s="278"/>
      <c r="L21" s="278"/>
      <c r="M21" s="278"/>
      <c r="N21" s="272"/>
      <c r="O21" s="272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</row>
    <row r="22" spans="1:39" x14ac:dyDescent="0.25">
      <c r="A22" s="334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</row>
    <row r="23" spans="1:39" x14ac:dyDescent="0.25">
      <c r="A23" s="303"/>
      <c r="B23" s="303"/>
      <c r="C23" s="304"/>
      <c r="D23" s="303"/>
      <c r="E23" s="303"/>
      <c r="F23" s="303"/>
      <c r="G23" s="305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</row>
    <row r="24" spans="1:39" x14ac:dyDescent="0.25">
      <c r="A24" s="303"/>
      <c r="B24" s="303"/>
      <c r="C24" s="304"/>
      <c r="D24" s="303"/>
      <c r="E24" s="303"/>
      <c r="F24" s="303"/>
      <c r="G24" s="305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  <c r="AM24" s="278"/>
    </row>
    <row r="25" spans="1:39" x14ac:dyDescent="0.25">
      <c r="A25" s="303"/>
      <c r="B25" s="303"/>
      <c r="C25" s="304"/>
      <c r="D25" s="303"/>
      <c r="E25" s="303"/>
      <c r="F25" s="303"/>
      <c r="G25" s="305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</row>
    <row r="26" spans="1:39" x14ac:dyDescent="0.25">
      <c r="A26" s="303"/>
      <c r="B26" s="303"/>
      <c r="C26" s="304"/>
      <c r="D26" s="303"/>
      <c r="E26" s="303"/>
      <c r="F26" s="303"/>
      <c r="G26" s="305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  <c r="AM26" s="278"/>
    </row>
    <row r="27" spans="1:39" x14ac:dyDescent="0.25">
      <c r="A27" s="303"/>
      <c r="B27" s="335"/>
      <c r="C27" s="336"/>
      <c r="D27" s="303"/>
      <c r="E27" s="303"/>
      <c r="F27" s="303"/>
      <c r="G27" s="305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</row>
    <row r="28" spans="1:39" x14ac:dyDescent="0.25">
      <c r="A28" s="33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</row>
    <row r="29" spans="1:39" x14ac:dyDescent="0.25">
      <c r="A29" s="303"/>
      <c r="B29" s="303"/>
      <c r="C29" s="304"/>
      <c r="D29" s="303"/>
      <c r="E29" s="303"/>
      <c r="F29" s="303"/>
      <c r="G29" s="305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</row>
    <row r="30" spans="1:39" x14ac:dyDescent="0.25">
      <c r="A30" s="303"/>
      <c r="B30" s="303"/>
      <c r="C30" s="304"/>
      <c r="D30" s="303"/>
      <c r="E30" s="303"/>
      <c r="F30" s="303"/>
      <c r="G30" s="305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  <c r="AL30" s="278"/>
      <c r="AM30" s="278"/>
    </row>
    <row r="31" spans="1:39" x14ac:dyDescent="0.25">
      <c r="A31" s="303"/>
      <c r="B31" s="303"/>
      <c r="C31" s="304"/>
      <c r="D31" s="303"/>
      <c r="E31" s="303"/>
      <c r="F31" s="303"/>
      <c r="G31" s="305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</row>
    <row r="32" spans="1:39" x14ac:dyDescent="0.25">
      <c r="A32" s="303"/>
      <c r="B32" s="303"/>
      <c r="C32" s="304"/>
      <c r="D32" s="303"/>
      <c r="E32" s="303"/>
      <c r="F32" s="303"/>
      <c r="G32" s="305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  <c r="AL32" s="278"/>
      <c r="AM32" s="278"/>
    </row>
    <row r="33" spans="1:39" x14ac:dyDescent="0.25">
      <c r="A33" s="33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</row>
    <row r="34" spans="1:39" x14ac:dyDescent="0.25">
      <c r="A34" s="303"/>
      <c r="B34" s="303"/>
      <c r="C34" s="304"/>
      <c r="D34" s="303"/>
      <c r="E34" s="303"/>
      <c r="F34" s="303"/>
      <c r="G34" s="305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  <c r="AM34" s="278"/>
    </row>
    <row r="35" spans="1:39" x14ac:dyDescent="0.25">
      <c r="A35" s="303"/>
      <c r="B35" s="303"/>
      <c r="C35" s="304"/>
      <c r="D35" s="303"/>
      <c r="E35" s="303"/>
      <c r="F35" s="303"/>
      <c r="G35" s="305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</row>
    <row r="36" spans="1:39" x14ac:dyDescent="0.25">
      <c r="A36" s="303"/>
      <c r="B36" s="303"/>
      <c r="C36" s="304"/>
      <c r="D36" s="303"/>
      <c r="E36" s="303"/>
      <c r="F36" s="303"/>
      <c r="G36" s="305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</row>
    <row r="37" spans="1:39" x14ac:dyDescent="0.25">
      <c r="A37" s="303"/>
      <c r="B37" s="303"/>
      <c r="C37" s="304"/>
      <c r="D37" s="303"/>
      <c r="E37" s="303"/>
      <c r="F37" s="303"/>
      <c r="G37" s="305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</row>
    <row r="38" spans="1:39" x14ac:dyDescent="0.25">
      <c r="G38" s="337"/>
    </row>
    <row r="39" spans="1:39" x14ac:dyDescent="0.25">
      <c r="G39" s="337"/>
    </row>
    <row r="40" spans="1:39" x14ac:dyDescent="0.25">
      <c r="G40" s="337"/>
    </row>
    <row r="41" spans="1:39" x14ac:dyDescent="0.25">
      <c r="G41" s="337"/>
    </row>
    <row r="42" spans="1:39" x14ac:dyDescent="0.25">
      <c r="G42" s="337"/>
    </row>
    <row r="43" spans="1:39" x14ac:dyDescent="0.25">
      <c r="G43" s="337"/>
    </row>
    <row r="44" spans="1:39" x14ac:dyDescent="0.25">
      <c r="G44" s="337"/>
    </row>
    <row r="45" spans="1:39" x14ac:dyDescent="0.25">
      <c r="G45" s="337"/>
    </row>
    <row r="46" spans="1:39" x14ac:dyDescent="0.25">
      <c r="G46" s="337"/>
    </row>
    <row r="47" spans="1:39" x14ac:dyDescent="0.25">
      <c r="G47" s="337"/>
    </row>
    <row r="48" spans="1:39" x14ac:dyDescent="0.25">
      <c r="G48" s="337"/>
    </row>
    <row r="49" spans="7:7" x14ac:dyDescent="0.25">
      <c r="G49" s="337"/>
    </row>
    <row r="50" spans="7:7" x14ac:dyDescent="0.25">
      <c r="G50" s="337"/>
    </row>
    <row r="51" spans="7:7" x14ac:dyDescent="0.25">
      <c r="G51" s="337"/>
    </row>
    <row r="52" spans="7:7" x14ac:dyDescent="0.25">
      <c r="G52" s="337"/>
    </row>
    <row r="53" spans="7:7" x14ac:dyDescent="0.25">
      <c r="G53" s="337"/>
    </row>
    <row r="54" spans="7:7" x14ac:dyDescent="0.25">
      <c r="G54" s="337"/>
    </row>
    <row r="55" spans="7:7" x14ac:dyDescent="0.25">
      <c r="G55" s="337"/>
    </row>
    <row r="56" spans="7:7" x14ac:dyDescent="0.25">
      <c r="G56" s="337"/>
    </row>
    <row r="57" spans="7:7" x14ac:dyDescent="0.25">
      <c r="G57" s="337"/>
    </row>
    <row r="58" spans="7:7" x14ac:dyDescent="0.25">
      <c r="G58" s="337"/>
    </row>
    <row r="59" spans="7:7" x14ac:dyDescent="0.25">
      <c r="G59" s="337"/>
    </row>
    <row r="60" spans="7:7" x14ac:dyDescent="0.25">
      <c r="G60" s="337"/>
    </row>
    <row r="61" spans="7:7" x14ac:dyDescent="0.25">
      <c r="G61" s="337"/>
    </row>
    <row r="62" spans="7:7" x14ac:dyDescent="0.25">
      <c r="G62" s="337"/>
    </row>
    <row r="63" spans="7:7" x14ac:dyDescent="0.25">
      <c r="G63" s="337"/>
    </row>
    <row r="64" spans="7:7" x14ac:dyDescent="0.25">
      <c r="G64" s="337"/>
    </row>
    <row r="65" spans="7:7" x14ac:dyDescent="0.25">
      <c r="G65" s="337"/>
    </row>
    <row r="66" spans="7:7" x14ac:dyDescent="0.25">
      <c r="G66" s="337"/>
    </row>
    <row r="67" spans="7:7" x14ac:dyDescent="0.25">
      <c r="G67" s="337"/>
    </row>
    <row r="68" spans="7:7" x14ac:dyDescent="0.25">
      <c r="G68" s="337"/>
    </row>
    <row r="69" spans="7:7" x14ac:dyDescent="0.25">
      <c r="G69" s="337"/>
    </row>
    <row r="70" spans="7:7" x14ac:dyDescent="0.25">
      <c r="G70" s="337"/>
    </row>
    <row r="71" spans="7:7" x14ac:dyDescent="0.25">
      <c r="G71" s="337"/>
    </row>
    <row r="72" spans="7:7" x14ac:dyDescent="0.25">
      <c r="G72" s="337"/>
    </row>
    <row r="73" spans="7:7" x14ac:dyDescent="0.25">
      <c r="G73" s="337"/>
    </row>
    <row r="74" spans="7:7" x14ac:dyDescent="0.25">
      <c r="G74" s="337"/>
    </row>
    <row r="75" spans="7:7" x14ac:dyDescent="0.25">
      <c r="G75" s="337"/>
    </row>
    <row r="76" spans="7:7" x14ac:dyDescent="0.25">
      <c r="G76" s="337"/>
    </row>
    <row r="77" spans="7:7" x14ac:dyDescent="0.25">
      <c r="G77" s="337"/>
    </row>
    <row r="78" spans="7:7" x14ac:dyDescent="0.25">
      <c r="G78" s="337"/>
    </row>
    <row r="79" spans="7:7" x14ac:dyDescent="0.25">
      <c r="G79" s="337"/>
    </row>
    <row r="80" spans="7:7" x14ac:dyDescent="0.25">
      <c r="G80" s="337"/>
    </row>
    <row r="81" spans="7:7" x14ac:dyDescent="0.25">
      <c r="G81" s="337"/>
    </row>
    <row r="82" spans="7:7" x14ac:dyDescent="0.25">
      <c r="G82" s="337"/>
    </row>
    <row r="83" spans="7:7" x14ac:dyDescent="0.25">
      <c r="G83" s="337"/>
    </row>
    <row r="84" spans="7:7" x14ac:dyDescent="0.25">
      <c r="G84" s="337"/>
    </row>
    <row r="85" spans="7:7" x14ac:dyDescent="0.25">
      <c r="G85" s="337"/>
    </row>
    <row r="86" spans="7:7" x14ac:dyDescent="0.25">
      <c r="G86" s="337"/>
    </row>
    <row r="87" spans="7:7" x14ac:dyDescent="0.25">
      <c r="G87" s="337"/>
    </row>
    <row r="88" spans="7:7" x14ac:dyDescent="0.25">
      <c r="G88" s="337"/>
    </row>
    <row r="89" spans="7:7" x14ac:dyDescent="0.25">
      <c r="G89" s="337"/>
    </row>
    <row r="90" spans="7:7" x14ac:dyDescent="0.25">
      <c r="G90" s="337"/>
    </row>
    <row r="91" spans="7:7" x14ac:dyDescent="0.25">
      <c r="G91" s="337"/>
    </row>
    <row r="92" spans="7:7" x14ac:dyDescent="0.25">
      <c r="G92" s="337"/>
    </row>
    <row r="93" spans="7:7" x14ac:dyDescent="0.25">
      <c r="G93" s="337"/>
    </row>
    <row r="94" spans="7:7" x14ac:dyDescent="0.25">
      <c r="G94" s="337"/>
    </row>
    <row r="95" spans="7:7" x14ac:dyDescent="0.25">
      <c r="G95" s="337"/>
    </row>
    <row r="96" spans="7:7" x14ac:dyDescent="0.25">
      <c r="G96" s="337"/>
    </row>
    <row r="97" spans="7:7" x14ac:dyDescent="0.25">
      <c r="G97" s="337"/>
    </row>
    <row r="98" spans="7:7" x14ac:dyDescent="0.25">
      <c r="G98" s="337"/>
    </row>
    <row r="99" spans="7:7" x14ac:dyDescent="0.25">
      <c r="G99" s="337"/>
    </row>
    <row r="100" spans="7:7" x14ac:dyDescent="0.25">
      <c r="G100" s="337"/>
    </row>
    <row r="101" spans="7:7" x14ac:dyDescent="0.25">
      <c r="G101" s="337"/>
    </row>
    <row r="102" spans="7:7" x14ac:dyDescent="0.25">
      <c r="G102" s="337"/>
    </row>
    <row r="103" spans="7:7" x14ac:dyDescent="0.25">
      <c r="G103" s="337"/>
    </row>
    <row r="104" spans="7:7" x14ac:dyDescent="0.25">
      <c r="G104" s="337"/>
    </row>
    <row r="105" spans="7:7" x14ac:dyDescent="0.25">
      <c r="G105" s="337"/>
    </row>
    <row r="106" spans="7:7" x14ac:dyDescent="0.25">
      <c r="G106" s="337"/>
    </row>
    <row r="107" spans="7:7" x14ac:dyDescent="0.25">
      <c r="G107" s="337"/>
    </row>
    <row r="108" spans="7:7" x14ac:dyDescent="0.25">
      <c r="G108" s="337"/>
    </row>
    <row r="109" spans="7:7" x14ac:dyDescent="0.25">
      <c r="G109" s="337"/>
    </row>
    <row r="110" spans="7:7" x14ac:dyDescent="0.25">
      <c r="G110" s="337"/>
    </row>
    <row r="111" spans="7:7" x14ac:dyDescent="0.25">
      <c r="G111" s="337"/>
    </row>
    <row r="112" spans="7:7" x14ac:dyDescent="0.25">
      <c r="G112" s="337"/>
    </row>
    <row r="113" spans="7:7" x14ac:dyDescent="0.25">
      <c r="G113" s="337"/>
    </row>
    <row r="114" spans="7:7" x14ac:dyDescent="0.25">
      <c r="G114" s="337"/>
    </row>
    <row r="115" spans="7:7" x14ac:dyDescent="0.25">
      <c r="G115" s="337"/>
    </row>
    <row r="116" spans="7:7" x14ac:dyDescent="0.25">
      <c r="G116" s="337"/>
    </row>
    <row r="117" spans="7:7" x14ac:dyDescent="0.25">
      <c r="G117" s="337"/>
    </row>
    <row r="118" spans="7:7" x14ac:dyDescent="0.25">
      <c r="G118" s="337"/>
    </row>
    <row r="119" spans="7:7" x14ac:dyDescent="0.25">
      <c r="G119" s="337"/>
    </row>
    <row r="120" spans="7:7" x14ac:dyDescent="0.25">
      <c r="G120" s="337"/>
    </row>
    <row r="121" spans="7:7" x14ac:dyDescent="0.25">
      <c r="G121" s="337"/>
    </row>
    <row r="122" spans="7:7" x14ac:dyDescent="0.25">
      <c r="G122" s="337"/>
    </row>
    <row r="123" spans="7:7" x14ac:dyDescent="0.25">
      <c r="G123" s="337"/>
    </row>
    <row r="124" spans="7:7" x14ac:dyDescent="0.25">
      <c r="G124" s="337"/>
    </row>
    <row r="125" spans="7:7" x14ac:dyDescent="0.25">
      <c r="G125" s="337"/>
    </row>
    <row r="126" spans="7:7" x14ac:dyDescent="0.25">
      <c r="G126" s="337"/>
    </row>
    <row r="127" spans="7:7" x14ac:dyDescent="0.25">
      <c r="G127" s="337"/>
    </row>
    <row r="128" spans="7:7" x14ac:dyDescent="0.25">
      <c r="G128" s="337"/>
    </row>
    <row r="129" spans="7:7" x14ac:dyDescent="0.25">
      <c r="G129" s="337"/>
    </row>
    <row r="130" spans="7:7" x14ac:dyDescent="0.25">
      <c r="G130" s="337"/>
    </row>
    <row r="131" spans="7:7" x14ac:dyDescent="0.25">
      <c r="G131" s="337"/>
    </row>
    <row r="132" spans="7:7" x14ac:dyDescent="0.25">
      <c r="G132" s="337"/>
    </row>
    <row r="133" spans="7:7" x14ac:dyDescent="0.25">
      <c r="G133" s="337"/>
    </row>
    <row r="134" spans="7:7" x14ac:dyDescent="0.25">
      <c r="G134" s="337"/>
    </row>
    <row r="135" spans="7:7" x14ac:dyDescent="0.25">
      <c r="G135" s="337"/>
    </row>
    <row r="136" spans="7:7" x14ac:dyDescent="0.25">
      <c r="G136" s="337"/>
    </row>
    <row r="137" spans="7:7" x14ac:dyDescent="0.25">
      <c r="G137" s="337"/>
    </row>
    <row r="138" spans="7:7" x14ac:dyDescent="0.25">
      <c r="G138" s="337"/>
    </row>
    <row r="139" spans="7:7" x14ac:dyDescent="0.25">
      <c r="G139" s="337"/>
    </row>
    <row r="140" spans="7:7" x14ac:dyDescent="0.25">
      <c r="G140" s="337"/>
    </row>
    <row r="141" spans="7:7" x14ac:dyDescent="0.25">
      <c r="G141" s="337"/>
    </row>
    <row r="142" spans="7:7" x14ac:dyDescent="0.25">
      <c r="G142" s="337"/>
    </row>
    <row r="143" spans="7:7" x14ac:dyDescent="0.25">
      <c r="G143" s="337"/>
    </row>
    <row r="144" spans="7:7" x14ac:dyDescent="0.25">
      <c r="G144" s="337"/>
    </row>
    <row r="145" spans="7:7" x14ac:dyDescent="0.25">
      <c r="G145" s="337"/>
    </row>
    <row r="146" spans="7:7" x14ac:dyDescent="0.25">
      <c r="G146" s="337"/>
    </row>
    <row r="147" spans="7:7" x14ac:dyDescent="0.25">
      <c r="G147" s="337"/>
    </row>
    <row r="148" spans="7:7" x14ac:dyDescent="0.25">
      <c r="G148" s="337"/>
    </row>
    <row r="149" spans="7:7" x14ac:dyDescent="0.25">
      <c r="G149" s="337"/>
    </row>
    <row r="150" spans="7:7" x14ac:dyDescent="0.25">
      <c r="G150" s="337"/>
    </row>
    <row r="151" spans="7:7" x14ac:dyDescent="0.25">
      <c r="G151" s="337"/>
    </row>
    <row r="152" spans="7:7" x14ac:dyDescent="0.25">
      <c r="G152" s="337"/>
    </row>
    <row r="153" spans="7:7" x14ac:dyDescent="0.25">
      <c r="G153" s="337"/>
    </row>
    <row r="154" spans="7:7" x14ac:dyDescent="0.25">
      <c r="G154" s="337"/>
    </row>
    <row r="155" spans="7:7" x14ac:dyDescent="0.25">
      <c r="G155" s="337"/>
    </row>
    <row r="156" spans="7:7" x14ac:dyDescent="0.25">
      <c r="G156" s="337"/>
    </row>
    <row r="157" spans="7:7" x14ac:dyDescent="0.25">
      <c r="G157" s="337"/>
    </row>
    <row r="158" spans="7:7" x14ac:dyDescent="0.25">
      <c r="G158" s="337"/>
    </row>
    <row r="159" spans="7:7" x14ac:dyDescent="0.25">
      <c r="G159" s="337"/>
    </row>
    <row r="160" spans="7:7" x14ac:dyDescent="0.25">
      <c r="G160" s="337"/>
    </row>
    <row r="161" spans="7:7" x14ac:dyDescent="0.25">
      <c r="G161" s="337"/>
    </row>
    <row r="162" spans="7:7" x14ac:dyDescent="0.25">
      <c r="G162" s="337"/>
    </row>
    <row r="163" spans="7:7" x14ac:dyDescent="0.25">
      <c r="G163" s="337"/>
    </row>
    <row r="164" spans="7:7" x14ac:dyDescent="0.25">
      <c r="G164" s="337"/>
    </row>
    <row r="165" spans="7:7" x14ac:dyDescent="0.25">
      <c r="G165" s="337"/>
    </row>
    <row r="166" spans="7:7" x14ac:dyDescent="0.25">
      <c r="G166" s="337"/>
    </row>
    <row r="167" spans="7:7" x14ac:dyDescent="0.25">
      <c r="G167" s="337"/>
    </row>
    <row r="168" spans="7:7" x14ac:dyDescent="0.25">
      <c r="G168" s="337"/>
    </row>
    <row r="169" spans="7:7" x14ac:dyDescent="0.25">
      <c r="G169" s="337"/>
    </row>
    <row r="170" spans="7:7" x14ac:dyDescent="0.25">
      <c r="G170" s="337"/>
    </row>
    <row r="171" spans="7:7" x14ac:dyDescent="0.25">
      <c r="G171" s="337"/>
    </row>
    <row r="172" spans="7:7" x14ac:dyDescent="0.25">
      <c r="G172" s="337"/>
    </row>
    <row r="173" spans="7:7" x14ac:dyDescent="0.25">
      <c r="G173" s="337"/>
    </row>
    <row r="174" spans="7:7" x14ac:dyDescent="0.25">
      <c r="G174" s="337"/>
    </row>
    <row r="175" spans="7:7" x14ac:dyDescent="0.25">
      <c r="G175" s="337"/>
    </row>
    <row r="176" spans="7:7" x14ac:dyDescent="0.25">
      <c r="G176" s="337"/>
    </row>
    <row r="177" spans="7:7" x14ac:dyDescent="0.25">
      <c r="G177" s="337"/>
    </row>
    <row r="178" spans="7:7" x14ac:dyDescent="0.25">
      <c r="G178" s="337"/>
    </row>
    <row r="179" spans="7:7" x14ac:dyDescent="0.25">
      <c r="G179" s="337"/>
    </row>
    <row r="180" spans="7:7" x14ac:dyDescent="0.25">
      <c r="G180" s="337"/>
    </row>
    <row r="181" spans="7:7" x14ac:dyDescent="0.25">
      <c r="G181" s="337"/>
    </row>
    <row r="182" spans="7:7" x14ac:dyDescent="0.25">
      <c r="G182" s="337"/>
    </row>
    <row r="183" spans="7:7" x14ac:dyDescent="0.25">
      <c r="G183" s="337"/>
    </row>
    <row r="184" spans="7:7" x14ac:dyDescent="0.25">
      <c r="G184" s="337"/>
    </row>
    <row r="185" spans="7:7" x14ac:dyDescent="0.25">
      <c r="G185" s="337"/>
    </row>
    <row r="186" spans="7:7" x14ac:dyDescent="0.25">
      <c r="G186" s="337"/>
    </row>
    <row r="187" spans="7:7" x14ac:dyDescent="0.25">
      <c r="G187" s="337"/>
    </row>
    <row r="188" spans="7:7" x14ac:dyDescent="0.25">
      <c r="G188" s="337"/>
    </row>
    <row r="189" spans="7:7" x14ac:dyDescent="0.25">
      <c r="G189" s="337"/>
    </row>
    <row r="190" spans="7:7" x14ac:dyDescent="0.25">
      <c r="G190" s="337"/>
    </row>
    <row r="191" spans="7:7" x14ac:dyDescent="0.25">
      <c r="G191" s="337"/>
    </row>
    <row r="192" spans="7:7" x14ac:dyDescent="0.25">
      <c r="G192" s="337"/>
    </row>
    <row r="193" spans="7:7" x14ac:dyDescent="0.25">
      <c r="G193" s="337"/>
    </row>
    <row r="194" spans="7:7" x14ac:dyDescent="0.25">
      <c r="G194" s="337"/>
    </row>
    <row r="195" spans="7:7" x14ac:dyDescent="0.25">
      <c r="G195" s="337"/>
    </row>
    <row r="196" spans="7:7" x14ac:dyDescent="0.25">
      <c r="G196" s="337"/>
    </row>
    <row r="197" spans="7:7" x14ac:dyDescent="0.25">
      <c r="G197" s="337"/>
    </row>
    <row r="198" spans="7:7" x14ac:dyDescent="0.25">
      <c r="G198" s="337"/>
    </row>
    <row r="199" spans="7:7" x14ac:dyDescent="0.25">
      <c r="G199" s="337"/>
    </row>
    <row r="200" spans="7:7" x14ac:dyDescent="0.25">
      <c r="G200" s="337"/>
    </row>
    <row r="201" spans="7:7" x14ac:dyDescent="0.25">
      <c r="G201" s="337"/>
    </row>
    <row r="202" spans="7:7" x14ac:dyDescent="0.25">
      <c r="G202" s="337"/>
    </row>
    <row r="203" spans="7:7" x14ac:dyDescent="0.25">
      <c r="G203" s="337"/>
    </row>
    <row r="204" spans="7:7" x14ac:dyDescent="0.25">
      <c r="G204" s="337"/>
    </row>
    <row r="205" spans="7:7" x14ac:dyDescent="0.25">
      <c r="G205" s="337"/>
    </row>
    <row r="206" spans="7:7" x14ac:dyDescent="0.25">
      <c r="G206" s="337"/>
    </row>
    <row r="207" spans="7:7" x14ac:dyDescent="0.25">
      <c r="G207" s="337"/>
    </row>
    <row r="208" spans="7:7" x14ac:dyDescent="0.25">
      <c r="G208" s="337"/>
    </row>
    <row r="209" spans="7:7" x14ac:dyDescent="0.25">
      <c r="G209" s="337"/>
    </row>
    <row r="210" spans="7:7" x14ac:dyDescent="0.25">
      <c r="G210" s="337"/>
    </row>
    <row r="211" spans="7:7" x14ac:dyDescent="0.25">
      <c r="G211" s="337"/>
    </row>
    <row r="212" spans="7:7" x14ac:dyDescent="0.25">
      <c r="G212" s="337"/>
    </row>
    <row r="213" spans="7:7" x14ac:dyDescent="0.25">
      <c r="G213" s="337"/>
    </row>
    <row r="214" spans="7:7" x14ac:dyDescent="0.25">
      <c r="G214" s="337"/>
    </row>
    <row r="215" spans="7:7" x14ac:dyDescent="0.25">
      <c r="G215" s="337"/>
    </row>
    <row r="216" spans="7:7" x14ac:dyDescent="0.25">
      <c r="G216" s="337"/>
    </row>
    <row r="217" spans="7:7" x14ac:dyDescent="0.25">
      <c r="G217" s="337"/>
    </row>
    <row r="218" spans="7:7" x14ac:dyDescent="0.25">
      <c r="G218" s="337"/>
    </row>
    <row r="219" spans="7:7" x14ac:dyDescent="0.25">
      <c r="G219" s="337"/>
    </row>
    <row r="220" spans="7:7" x14ac:dyDescent="0.25">
      <c r="G220" s="337"/>
    </row>
    <row r="221" spans="7:7" x14ac:dyDescent="0.25">
      <c r="G221" s="337"/>
    </row>
    <row r="222" spans="7:7" x14ac:dyDescent="0.25">
      <c r="G222" s="337"/>
    </row>
    <row r="223" spans="7:7" x14ac:dyDescent="0.25">
      <c r="G223" s="337"/>
    </row>
    <row r="224" spans="7:7" x14ac:dyDescent="0.25">
      <c r="G224" s="337"/>
    </row>
    <row r="225" spans="7:7" x14ac:dyDescent="0.25">
      <c r="G225" s="337"/>
    </row>
    <row r="226" spans="7:7" x14ac:dyDescent="0.25">
      <c r="G226" s="337"/>
    </row>
    <row r="227" spans="7:7" x14ac:dyDescent="0.25">
      <c r="G227" s="337"/>
    </row>
    <row r="228" spans="7:7" x14ac:dyDescent="0.25">
      <c r="G228" s="337"/>
    </row>
    <row r="229" spans="7:7" x14ac:dyDescent="0.25">
      <c r="G229" s="337"/>
    </row>
    <row r="230" spans="7:7" x14ac:dyDescent="0.25">
      <c r="G230" s="337"/>
    </row>
    <row r="231" spans="7:7" x14ac:dyDescent="0.25">
      <c r="G231" s="337"/>
    </row>
    <row r="232" spans="7:7" x14ac:dyDescent="0.25">
      <c r="G232" s="337"/>
    </row>
    <row r="233" spans="7:7" x14ac:dyDescent="0.25">
      <c r="G233" s="337"/>
    </row>
    <row r="234" spans="7:7" x14ac:dyDescent="0.25">
      <c r="G234" s="337"/>
    </row>
    <row r="235" spans="7:7" x14ac:dyDescent="0.25">
      <c r="G235" s="337"/>
    </row>
    <row r="236" spans="7:7" x14ac:dyDescent="0.25">
      <c r="G236" s="337"/>
    </row>
    <row r="237" spans="7:7" x14ac:dyDescent="0.25">
      <c r="G237" s="337"/>
    </row>
    <row r="238" spans="7:7" x14ac:dyDescent="0.25">
      <c r="G238" s="337"/>
    </row>
    <row r="239" spans="7:7" x14ac:dyDescent="0.25">
      <c r="G239" s="337"/>
    </row>
    <row r="240" spans="7:7" x14ac:dyDescent="0.25">
      <c r="G240" s="337"/>
    </row>
    <row r="241" spans="7:7" x14ac:dyDescent="0.25">
      <c r="G241" s="337"/>
    </row>
    <row r="242" spans="7:7" x14ac:dyDescent="0.25">
      <c r="G242" s="337"/>
    </row>
    <row r="243" spans="7:7" x14ac:dyDescent="0.25">
      <c r="G243" s="337"/>
    </row>
    <row r="244" spans="7:7" x14ac:dyDescent="0.25">
      <c r="G244" s="337"/>
    </row>
    <row r="245" spans="7:7" x14ac:dyDescent="0.25">
      <c r="G245" s="337"/>
    </row>
    <row r="246" spans="7:7" x14ac:dyDescent="0.25">
      <c r="G246" s="337"/>
    </row>
    <row r="247" spans="7:7" x14ac:dyDescent="0.25">
      <c r="G247" s="337"/>
    </row>
    <row r="248" spans="7:7" x14ac:dyDescent="0.25">
      <c r="G248" s="337"/>
    </row>
    <row r="249" spans="7:7" x14ac:dyDescent="0.25">
      <c r="G249" s="337"/>
    </row>
    <row r="250" spans="7:7" x14ac:dyDescent="0.25">
      <c r="G250" s="337"/>
    </row>
    <row r="251" spans="7:7" x14ac:dyDescent="0.25">
      <c r="G251" s="337"/>
    </row>
    <row r="252" spans="7:7" x14ac:dyDescent="0.25">
      <c r="G252" s="337"/>
    </row>
    <row r="253" spans="7:7" x14ac:dyDescent="0.25">
      <c r="G253" s="337"/>
    </row>
    <row r="254" spans="7:7" x14ac:dyDescent="0.25">
      <c r="G254" s="337"/>
    </row>
    <row r="255" spans="7:7" x14ac:dyDescent="0.25">
      <c r="G255" s="337"/>
    </row>
    <row r="256" spans="7:7" x14ac:dyDescent="0.25">
      <c r="G256" s="337"/>
    </row>
    <row r="257" spans="7:7" x14ac:dyDescent="0.25">
      <c r="G257" s="337"/>
    </row>
    <row r="258" spans="7:7" x14ac:dyDescent="0.25">
      <c r="G258" s="337"/>
    </row>
    <row r="259" spans="7:7" x14ac:dyDescent="0.25">
      <c r="G259" s="337"/>
    </row>
    <row r="260" spans="7:7" x14ac:dyDescent="0.25">
      <c r="G260" s="337"/>
    </row>
    <row r="261" spans="7:7" x14ac:dyDescent="0.25">
      <c r="G261" s="337"/>
    </row>
    <row r="262" spans="7:7" x14ac:dyDescent="0.25">
      <c r="G262" s="337"/>
    </row>
    <row r="263" spans="7:7" x14ac:dyDescent="0.25">
      <c r="G263" s="337"/>
    </row>
    <row r="264" spans="7:7" x14ac:dyDescent="0.25">
      <c r="G264" s="337"/>
    </row>
    <row r="265" spans="7:7" x14ac:dyDescent="0.25">
      <c r="G265" s="337"/>
    </row>
    <row r="266" spans="7:7" x14ac:dyDescent="0.25">
      <c r="G266" s="337"/>
    </row>
    <row r="267" spans="7:7" x14ac:dyDescent="0.25">
      <c r="G267" s="337"/>
    </row>
    <row r="268" spans="7:7" x14ac:dyDescent="0.25">
      <c r="G268" s="337"/>
    </row>
    <row r="269" spans="7:7" x14ac:dyDescent="0.25">
      <c r="G269" s="337"/>
    </row>
    <row r="270" spans="7:7" x14ac:dyDescent="0.25">
      <c r="G270" s="337"/>
    </row>
    <row r="271" spans="7:7" x14ac:dyDescent="0.25">
      <c r="G271" s="337"/>
    </row>
    <row r="272" spans="7:7" x14ac:dyDescent="0.25">
      <c r="G272" s="337"/>
    </row>
    <row r="273" spans="7:7" x14ac:dyDescent="0.25">
      <c r="G273" s="337"/>
    </row>
    <row r="274" spans="7:7" x14ac:dyDescent="0.25">
      <c r="G274" s="337"/>
    </row>
    <row r="275" spans="7:7" x14ac:dyDescent="0.25">
      <c r="G275" s="337"/>
    </row>
    <row r="276" spans="7:7" x14ac:dyDescent="0.25">
      <c r="G276" s="337"/>
    </row>
    <row r="277" spans="7:7" x14ac:dyDescent="0.25">
      <c r="G277" s="337"/>
    </row>
    <row r="278" spans="7:7" x14ac:dyDescent="0.25">
      <c r="G278" s="337"/>
    </row>
    <row r="279" spans="7:7" x14ac:dyDescent="0.25">
      <c r="G279" s="337"/>
    </row>
    <row r="280" spans="7:7" x14ac:dyDescent="0.25">
      <c r="G280" s="337"/>
    </row>
    <row r="281" spans="7:7" x14ac:dyDescent="0.25">
      <c r="G281" s="337"/>
    </row>
    <row r="282" spans="7:7" x14ac:dyDescent="0.25">
      <c r="G282" s="337"/>
    </row>
    <row r="283" spans="7:7" x14ac:dyDescent="0.25">
      <c r="G283" s="337"/>
    </row>
    <row r="284" spans="7:7" x14ac:dyDescent="0.25">
      <c r="G284" s="337"/>
    </row>
    <row r="285" spans="7:7" x14ac:dyDescent="0.25">
      <c r="G285" s="337"/>
    </row>
    <row r="286" spans="7:7" x14ac:dyDescent="0.25">
      <c r="G286" s="337"/>
    </row>
    <row r="287" spans="7:7" x14ac:dyDescent="0.25">
      <c r="G287" s="337"/>
    </row>
    <row r="288" spans="7:7" x14ac:dyDescent="0.25">
      <c r="G288" s="337"/>
    </row>
    <row r="289" spans="7:7" x14ac:dyDescent="0.25">
      <c r="G289" s="337"/>
    </row>
    <row r="290" spans="7:7" x14ac:dyDescent="0.25">
      <c r="G290" s="337"/>
    </row>
    <row r="291" spans="7:7" x14ac:dyDescent="0.25">
      <c r="G291" s="337"/>
    </row>
    <row r="292" spans="7:7" x14ac:dyDescent="0.25">
      <c r="G292" s="337"/>
    </row>
    <row r="293" spans="7:7" x14ac:dyDescent="0.25">
      <c r="G293" s="337"/>
    </row>
    <row r="294" spans="7:7" x14ac:dyDescent="0.25">
      <c r="G294" s="337"/>
    </row>
    <row r="295" spans="7:7" x14ac:dyDescent="0.25">
      <c r="G295" s="337"/>
    </row>
    <row r="296" spans="7:7" x14ac:dyDescent="0.25">
      <c r="G296" s="337"/>
    </row>
    <row r="297" spans="7:7" x14ac:dyDescent="0.25">
      <c r="G297" s="337"/>
    </row>
    <row r="298" spans="7:7" x14ac:dyDescent="0.25">
      <c r="G298" s="337"/>
    </row>
    <row r="299" spans="7:7" x14ac:dyDescent="0.25">
      <c r="G299" s="337"/>
    </row>
    <row r="300" spans="7:7" x14ac:dyDescent="0.25">
      <c r="G300" s="337"/>
    </row>
    <row r="301" spans="7:7" x14ac:dyDescent="0.25">
      <c r="G301" s="337"/>
    </row>
    <row r="302" spans="7:7" x14ac:dyDescent="0.25">
      <c r="G302" s="337"/>
    </row>
    <row r="303" spans="7:7" x14ac:dyDescent="0.25">
      <c r="G303" s="337"/>
    </row>
    <row r="304" spans="7:7" x14ac:dyDescent="0.25">
      <c r="G304" s="337"/>
    </row>
    <row r="305" spans="7:7" x14ac:dyDescent="0.25">
      <c r="G305" s="337"/>
    </row>
    <row r="306" spans="7:7" x14ac:dyDescent="0.25">
      <c r="G306" s="337"/>
    </row>
    <row r="307" spans="7:7" x14ac:dyDescent="0.25">
      <c r="G307" s="337"/>
    </row>
    <row r="308" spans="7:7" x14ac:dyDescent="0.25">
      <c r="G308" s="337"/>
    </row>
    <row r="309" spans="7:7" x14ac:dyDescent="0.25">
      <c r="G309" s="337"/>
    </row>
    <row r="310" spans="7:7" x14ac:dyDescent="0.25">
      <c r="G310" s="337"/>
    </row>
    <row r="311" spans="7:7" x14ac:dyDescent="0.25">
      <c r="G311" s="337"/>
    </row>
    <row r="312" spans="7:7" x14ac:dyDescent="0.25">
      <c r="G312" s="337"/>
    </row>
    <row r="313" spans="7:7" x14ac:dyDescent="0.25">
      <c r="G313" s="337"/>
    </row>
    <row r="314" spans="7:7" x14ac:dyDescent="0.25">
      <c r="G314" s="337"/>
    </row>
    <row r="315" spans="7:7" x14ac:dyDescent="0.25">
      <c r="G315" s="337"/>
    </row>
    <row r="316" spans="7:7" x14ac:dyDescent="0.25">
      <c r="G316" s="337"/>
    </row>
    <row r="317" spans="7:7" x14ac:dyDescent="0.25">
      <c r="G317" s="337"/>
    </row>
    <row r="318" spans="7:7" x14ac:dyDescent="0.25">
      <c r="G318" s="337"/>
    </row>
    <row r="319" spans="7:7" x14ac:dyDescent="0.25">
      <c r="G319" s="337"/>
    </row>
    <row r="320" spans="7:7" x14ac:dyDescent="0.25">
      <c r="G320" s="337"/>
    </row>
    <row r="321" spans="7:7" x14ac:dyDescent="0.25">
      <c r="G321" s="337"/>
    </row>
    <row r="322" spans="7:7" x14ac:dyDescent="0.25">
      <c r="G322" s="337"/>
    </row>
    <row r="323" spans="7:7" x14ac:dyDescent="0.25">
      <c r="G323" s="337"/>
    </row>
    <row r="324" spans="7:7" x14ac:dyDescent="0.25">
      <c r="G324" s="337"/>
    </row>
    <row r="325" spans="7:7" x14ac:dyDescent="0.25">
      <c r="G325" s="337"/>
    </row>
    <row r="326" spans="7:7" x14ac:dyDescent="0.25">
      <c r="G326" s="337"/>
    </row>
    <row r="327" spans="7:7" x14ac:dyDescent="0.25">
      <c r="G327" s="337"/>
    </row>
    <row r="328" spans="7:7" x14ac:dyDescent="0.25">
      <c r="G328" s="337"/>
    </row>
    <row r="329" spans="7:7" x14ac:dyDescent="0.25">
      <c r="G329" s="337"/>
    </row>
    <row r="330" spans="7:7" x14ac:dyDescent="0.25">
      <c r="G330" s="337"/>
    </row>
    <row r="331" spans="7:7" x14ac:dyDescent="0.25">
      <c r="G331" s="337"/>
    </row>
    <row r="332" spans="7:7" x14ac:dyDescent="0.25">
      <c r="G332" s="337"/>
    </row>
    <row r="333" spans="7:7" x14ac:dyDescent="0.25">
      <c r="G333" s="337"/>
    </row>
    <row r="334" spans="7:7" x14ac:dyDescent="0.25">
      <c r="G334" s="337"/>
    </row>
    <row r="335" spans="7:7" x14ac:dyDescent="0.25">
      <c r="G335" s="337"/>
    </row>
    <row r="336" spans="7:7" x14ac:dyDescent="0.25">
      <c r="G336" s="337"/>
    </row>
    <row r="337" spans="7:7" x14ac:dyDescent="0.25">
      <c r="G337" s="337"/>
    </row>
    <row r="338" spans="7:7" x14ac:dyDescent="0.25">
      <c r="G338" s="337"/>
    </row>
    <row r="339" spans="7:7" x14ac:dyDescent="0.25">
      <c r="G339" s="337"/>
    </row>
    <row r="340" spans="7:7" x14ac:dyDescent="0.25">
      <c r="G340" s="337"/>
    </row>
    <row r="341" spans="7:7" x14ac:dyDescent="0.25">
      <c r="G341" s="337"/>
    </row>
    <row r="342" spans="7:7" x14ac:dyDescent="0.25">
      <c r="G342" s="337"/>
    </row>
    <row r="343" spans="7:7" x14ac:dyDescent="0.25">
      <c r="G343" s="337"/>
    </row>
    <row r="344" spans="7:7" x14ac:dyDescent="0.25">
      <c r="G344" s="337"/>
    </row>
    <row r="345" spans="7:7" x14ac:dyDescent="0.25">
      <c r="G345" s="337"/>
    </row>
    <row r="346" spans="7:7" x14ac:dyDescent="0.25">
      <c r="G346" s="337"/>
    </row>
    <row r="347" spans="7:7" x14ac:dyDescent="0.25">
      <c r="G347" s="337"/>
    </row>
    <row r="348" spans="7:7" x14ac:dyDescent="0.25">
      <c r="G348" s="337"/>
    </row>
    <row r="349" spans="7:7" x14ac:dyDescent="0.25">
      <c r="G349" s="337"/>
    </row>
    <row r="350" spans="7:7" x14ac:dyDescent="0.25">
      <c r="G350" s="337"/>
    </row>
    <row r="351" spans="7:7" x14ac:dyDescent="0.25">
      <c r="G351" s="337"/>
    </row>
    <row r="352" spans="7:7" x14ac:dyDescent="0.25">
      <c r="G352" s="337"/>
    </row>
    <row r="353" spans="7:7" x14ac:dyDescent="0.25">
      <c r="G353" s="337"/>
    </row>
    <row r="354" spans="7:7" x14ac:dyDescent="0.25">
      <c r="G354" s="337"/>
    </row>
    <row r="355" spans="7:7" x14ac:dyDescent="0.25">
      <c r="G355" s="337"/>
    </row>
    <row r="356" spans="7:7" x14ac:dyDescent="0.25">
      <c r="G356" s="337"/>
    </row>
    <row r="357" spans="7:7" x14ac:dyDescent="0.25">
      <c r="G357" s="337"/>
    </row>
    <row r="358" spans="7:7" x14ac:dyDescent="0.25">
      <c r="G358" s="337"/>
    </row>
    <row r="359" spans="7:7" x14ac:dyDescent="0.25">
      <c r="G359" s="337"/>
    </row>
    <row r="360" spans="7:7" x14ac:dyDescent="0.25">
      <c r="G360" s="337"/>
    </row>
    <row r="361" spans="7:7" x14ac:dyDescent="0.25">
      <c r="G361" s="337"/>
    </row>
    <row r="362" spans="7:7" x14ac:dyDescent="0.25">
      <c r="G362" s="337"/>
    </row>
    <row r="363" spans="7:7" x14ac:dyDescent="0.25">
      <c r="G363" s="337"/>
    </row>
    <row r="364" spans="7:7" x14ac:dyDescent="0.25">
      <c r="G364" s="337"/>
    </row>
    <row r="365" spans="7:7" x14ac:dyDescent="0.25">
      <c r="G365" s="337"/>
    </row>
    <row r="366" spans="7:7" x14ac:dyDescent="0.25">
      <c r="G366" s="337"/>
    </row>
    <row r="367" spans="7:7" x14ac:dyDescent="0.25">
      <c r="G367" s="337"/>
    </row>
    <row r="368" spans="7:7" x14ac:dyDescent="0.25">
      <c r="G368" s="337"/>
    </row>
    <row r="369" spans="7:7" x14ac:dyDescent="0.25">
      <c r="G369" s="337"/>
    </row>
    <row r="370" spans="7:7" x14ac:dyDescent="0.25">
      <c r="G370" s="337"/>
    </row>
    <row r="371" spans="7:7" x14ac:dyDescent="0.25">
      <c r="G371" s="337"/>
    </row>
    <row r="372" spans="7:7" x14ac:dyDescent="0.25">
      <c r="G372" s="337"/>
    </row>
    <row r="373" spans="7:7" x14ac:dyDescent="0.25">
      <c r="G373" s="337"/>
    </row>
    <row r="374" spans="7:7" x14ac:dyDescent="0.25">
      <c r="G374" s="337"/>
    </row>
    <row r="375" spans="7:7" x14ac:dyDescent="0.25">
      <c r="G375" s="337"/>
    </row>
    <row r="376" spans="7:7" x14ac:dyDescent="0.25">
      <c r="G376" s="337"/>
    </row>
    <row r="377" spans="7:7" x14ac:dyDescent="0.25">
      <c r="G377" s="337"/>
    </row>
    <row r="378" spans="7:7" x14ac:dyDescent="0.25">
      <c r="G378" s="337"/>
    </row>
    <row r="379" spans="7:7" x14ac:dyDescent="0.25">
      <c r="G379" s="337"/>
    </row>
    <row r="380" spans="7:7" x14ac:dyDescent="0.25">
      <c r="G380" s="337"/>
    </row>
    <row r="381" spans="7:7" x14ac:dyDescent="0.25">
      <c r="G381" s="337"/>
    </row>
    <row r="382" spans="7:7" x14ac:dyDescent="0.25">
      <c r="G382" s="337"/>
    </row>
    <row r="383" spans="7:7" x14ac:dyDescent="0.25">
      <c r="G383" s="337"/>
    </row>
    <row r="384" spans="7:7" x14ac:dyDescent="0.25">
      <c r="G384" s="337"/>
    </row>
    <row r="385" spans="7:7" x14ac:dyDescent="0.25">
      <c r="G385" s="337"/>
    </row>
    <row r="386" spans="7:7" x14ac:dyDescent="0.25">
      <c r="G386" s="337"/>
    </row>
    <row r="387" spans="7:7" x14ac:dyDescent="0.25">
      <c r="G387" s="337"/>
    </row>
    <row r="388" spans="7:7" x14ac:dyDescent="0.25">
      <c r="G388" s="337"/>
    </row>
    <row r="389" spans="7:7" x14ac:dyDescent="0.25">
      <c r="G389" s="337"/>
    </row>
    <row r="390" spans="7:7" x14ac:dyDescent="0.25">
      <c r="G390" s="337"/>
    </row>
    <row r="391" spans="7:7" x14ac:dyDescent="0.25">
      <c r="G391" s="337"/>
    </row>
    <row r="392" spans="7:7" x14ac:dyDescent="0.25">
      <c r="G392" s="337"/>
    </row>
    <row r="393" spans="7:7" x14ac:dyDescent="0.25">
      <c r="G393" s="337"/>
    </row>
    <row r="394" spans="7:7" x14ac:dyDescent="0.25">
      <c r="G394" s="337"/>
    </row>
    <row r="395" spans="7:7" x14ac:dyDescent="0.25">
      <c r="G395" s="337"/>
    </row>
    <row r="396" spans="7:7" x14ac:dyDescent="0.25">
      <c r="G396" s="337"/>
    </row>
    <row r="397" spans="7:7" x14ac:dyDescent="0.25">
      <c r="G397" s="337"/>
    </row>
    <row r="398" spans="7:7" x14ac:dyDescent="0.25">
      <c r="G398" s="337"/>
    </row>
    <row r="399" spans="7:7" x14ac:dyDescent="0.25">
      <c r="G399" s="337"/>
    </row>
    <row r="400" spans="7:7" x14ac:dyDescent="0.25">
      <c r="G400" s="337"/>
    </row>
    <row r="401" spans="7:7" x14ac:dyDescent="0.25">
      <c r="G401" s="337"/>
    </row>
    <row r="402" spans="7:7" x14ac:dyDescent="0.25">
      <c r="G402" s="337"/>
    </row>
    <row r="403" spans="7:7" x14ac:dyDescent="0.25">
      <c r="G403" s="337"/>
    </row>
    <row r="404" spans="7:7" x14ac:dyDescent="0.25">
      <c r="G404" s="337"/>
    </row>
    <row r="405" spans="7:7" x14ac:dyDescent="0.25">
      <c r="G405" s="337"/>
    </row>
    <row r="406" spans="7:7" x14ac:dyDescent="0.25">
      <c r="G406" s="337"/>
    </row>
    <row r="407" spans="7:7" x14ac:dyDescent="0.25">
      <c r="G407" s="337"/>
    </row>
    <row r="408" spans="7:7" x14ac:dyDescent="0.25">
      <c r="G408" s="337"/>
    </row>
    <row r="409" spans="7:7" x14ac:dyDescent="0.25">
      <c r="G409" s="337"/>
    </row>
    <row r="410" spans="7:7" x14ac:dyDescent="0.25">
      <c r="G410" s="337"/>
    </row>
    <row r="411" spans="7:7" x14ac:dyDescent="0.25">
      <c r="G411" s="337"/>
    </row>
    <row r="412" spans="7:7" x14ac:dyDescent="0.25">
      <c r="G412" s="337"/>
    </row>
    <row r="413" spans="7:7" x14ac:dyDescent="0.25">
      <c r="G413" s="337"/>
    </row>
    <row r="414" spans="7:7" x14ac:dyDescent="0.25">
      <c r="G414" s="337"/>
    </row>
    <row r="415" spans="7:7" x14ac:dyDescent="0.25">
      <c r="G415" s="337"/>
    </row>
    <row r="416" spans="7:7" x14ac:dyDescent="0.25">
      <c r="G416" s="337"/>
    </row>
    <row r="417" spans="7:7" x14ac:dyDescent="0.25">
      <c r="G417" s="337"/>
    </row>
    <row r="418" spans="7:7" x14ac:dyDescent="0.25">
      <c r="G418" s="337"/>
    </row>
    <row r="419" spans="7:7" x14ac:dyDescent="0.25">
      <c r="G419" s="337"/>
    </row>
    <row r="420" spans="7:7" x14ac:dyDescent="0.25">
      <c r="G420" s="337"/>
    </row>
    <row r="421" spans="7:7" x14ac:dyDescent="0.25">
      <c r="G421" s="337"/>
    </row>
    <row r="422" spans="7:7" x14ac:dyDescent="0.25">
      <c r="G422" s="337"/>
    </row>
    <row r="423" spans="7:7" x14ac:dyDescent="0.25">
      <c r="G423" s="337"/>
    </row>
    <row r="424" spans="7:7" x14ac:dyDescent="0.25">
      <c r="G424" s="337"/>
    </row>
    <row r="425" spans="7:7" x14ac:dyDescent="0.25">
      <c r="G425" s="337"/>
    </row>
    <row r="426" spans="7:7" x14ac:dyDescent="0.25">
      <c r="G426" s="337"/>
    </row>
    <row r="427" spans="7:7" x14ac:dyDescent="0.25">
      <c r="G427" s="337"/>
    </row>
    <row r="428" spans="7:7" x14ac:dyDescent="0.25">
      <c r="G428" s="337"/>
    </row>
    <row r="429" spans="7:7" x14ac:dyDescent="0.25">
      <c r="G429" s="337"/>
    </row>
    <row r="430" spans="7:7" x14ac:dyDescent="0.25">
      <c r="G430" s="337"/>
    </row>
    <row r="431" spans="7:7" x14ac:dyDescent="0.25">
      <c r="G431" s="337"/>
    </row>
    <row r="432" spans="7:7" x14ac:dyDescent="0.25">
      <c r="G432" s="337"/>
    </row>
    <row r="433" spans="7:7" x14ac:dyDescent="0.25">
      <c r="G433" s="337"/>
    </row>
    <row r="434" spans="7:7" x14ac:dyDescent="0.25">
      <c r="G434" s="337"/>
    </row>
    <row r="435" spans="7:7" x14ac:dyDescent="0.25">
      <c r="G435" s="337"/>
    </row>
    <row r="436" spans="7:7" x14ac:dyDescent="0.25">
      <c r="G436" s="337"/>
    </row>
    <row r="437" spans="7:7" x14ac:dyDescent="0.25">
      <c r="G437" s="337"/>
    </row>
    <row r="438" spans="7:7" x14ac:dyDescent="0.25">
      <c r="G438" s="337"/>
    </row>
    <row r="439" spans="7:7" x14ac:dyDescent="0.25">
      <c r="G439" s="337"/>
    </row>
    <row r="440" spans="7:7" x14ac:dyDescent="0.25">
      <c r="G440" s="337"/>
    </row>
    <row r="441" spans="7:7" x14ac:dyDescent="0.25">
      <c r="G441" s="337"/>
    </row>
    <row r="442" spans="7:7" x14ac:dyDescent="0.25">
      <c r="G442" s="337"/>
    </row>
    <row r="443" spans="7:7" x14ac:dyDescent="0.25">
      <c r="G443" s="337"/>
    </row>
    <row r="444" spans="7:7" x14ac:dyDescent="0.25">
      <c r="G444" s="337"/>
    </row>
    <row r="445" spans="7:7" x14ac:dyDescent="0.25">
      <c r="G445" s="337"/>
    </row>
    <row r="446" spans="7:7" x14ac:dyDescent="0.25">
      <c r="G446" s="337"/>
    </row>
    <row r="447" spans="7:7" x14ac:dyDescent="0.25">
      <c r="G447" s="337"/>
    </row>
    <row r="448" spans="7:7" x14ac:dyDescent="0.25">
      <c r="G448" s="337"/>
    </row>
    <row r="449" spans="7:7" x14ac:dyDescent="0.25">
      <c r="G449" s="337"/>
    </row>
    <row r="450" spans="7:7" x14ac:dyDescent="0.25">
      <c r="G450" s="337"/>
    </row>
    <row r="451" spans="7:7" x14ac:dyDescent="0.25">
      <c r="G451" s="337"/>
    </row>
    <row r="452" spans="7:7" x14ac:dyDescent="0.25">
      <c r="G452" s="337"/>
    </row>
    <row r="453" spans="7:7" x14ac:dyDescent="0.25">
      <c r="G453" s="337"/>
    </row>
    <row r="454" spans="7:7" x14ac:dyDescent="0.25">
      <c r="G454" s="337"/>
    </row>
    <row r="455" spans="7:7" x14ac:dyDescent="0.25">
      <c r="G455" s="337"/>
    </row>
    <row r="456" spans="7:7" x14ac:dyDescent="0.25">
      <c r="G456" s="337"/>
    </row>
    <row r="457" spans="7:7" x14ac:dyDescent="0.25">
      <c r="G457" s="337"/>
    </row>
    <row r="458" spans="7:7" x14ac:dyDescent="0.25">
      <c r="G458" s="337"/>
    </row>
    <row r="459" spans="7:7" x14ac:dyDescent="0.25">
      <c r="G459" s="337"/>
    </row>
    <row r="460" spans="7:7" x14ac:dyDescent="0.25">
      <c r="G460" s="337"/>
    </row>
    <row r="461" spans="7:7" x14ac:dyDescent="0.25">
      <c r="G461" s="337"/>
    </row>
    <row r="462" spans="7:7" x14ac:dyDescent="0.25">
      <c r="G462" s="337"/>
    </row>
    <row r="463" spans="7:7" x14ac:dyDescent="0.25">
      <c r="G463" s="337"/>
    </row>
    <row r="464" spans="7:7" x14ac:dyDescent="0.25">
      <c r="G464" s="337"/>
    </row>
    <row r="465" spans="7:7" x14ac:dyDescent="0.25">
      <c r="G465" s="337"/>
    </row>
    <row r="466" spans="7:7" x14ac:dyDescent="0.25">
      <c r="G466" s="337"/>
    </row>
    <row r="467" spans="7:7" x14ac:dyDescent="0.25">
      <c r="G467" s="337"/>
    </row>
    <row r="468" spans="7:7" x14ac:dyDescent="0.25">
      <c r="G468" s="337"/>
    </row>
    <row r="469" spans="7:7" x14ac:dyDescent="0.25">
      <c r="G469" s="337"/>
    </row>
    <row r="470" spans="7:7" x14ac:dyDescent="0.25">
      <c r="G470" s="337"/>
    </row>
    <row r="471" spans="7:7" x14ac:dyDescent="0.25">
      <c r="G471" s="337"/>
    </row>
    <row r="472" spans="7:7" x14ac:dyDescent="0.25">
      <c r="G472" s="337"/>
    </row>
    <row r="473" spans="7:7" x14ac:dyDescent="0.25">
      <c r="G473" s="337"/>
    </row>
    <row r="474" spans="7:7" x14ac:dyDescent="0.25">
      <c r="G474" s="337"/>
    </row>
    <row r="475" spans="7:7" x14ac:dyDescent="0.25">
      <c r="G475" s="337"/>
    </row>
    <row r="476" spans="7:7" x14ac:dyDescent="0.25">
      <c r="G476" s="337"/>
    </row>
    <row r="477" spans="7:7" x14ac:dyDescent="0.25">
      <c r="G477" s="337"/>
    </row>
    <row r="478" spans="7:7" x14ac:dyDescent="0.25">
      <c r="G478" s="337"/>
    </row>
    <row r="479" spans="7:7" x14ac:dyDescent="0.25">
      <c r="G479" s="337"/>
    </row>
    <row r="480" spans="7:7" x14ac:dyDescent="0.25">
      <c r="G480" s="337"/>
    </row>
    <row r="481" spans="7:7" x14ac:dyDescent="0.25">
      <c r="G481" s="337"/>
    </row>
    <row r="482" spans="7:7" x14ac:dyDescent="0.25">
      <c r="G482" s="337"/>
    </row>
    <row r="483" spans="7:7" x14ac:dyDescent="0.25">
      <c r="G483" s="337"/>
    </row>
    <row r="484" spans="7:7" x14ac:dyDescent="0.25">
      <c r="G484" s="337"/>
    </row>
    <row r="485" spans="7:7" x14ac:dyDescent="0.25">
      <c r="G485" s="337"/>
    </row>
    <row r="486" spans="7:7" x14ac:dyDescent="0.25">
      <c r="G486" s="337"/>
    </row>
    <row r="487" spans="7:7" x14ac:dyDescent="0.25">
      <c r="G487" s="337"/>
    </row>
    <row r="488" spans="7:7" x14ac:dyDescent="0.25">
      <c r="G488" s="337"/>
    </row>
    <row r="489" spans="7:7" x14ac:dyDescent="0.25">
      <c r="G489" s="337"/>
    </row>
    <row r="490" spans="7:7" x14ac:dyDescent="0.25">
      <c r="G490" s="337"/>
    </row>
    <row r="491" spans="7:7" x14ac:dyDescent="0.25">
      <c r="G491" s="337"/>
    </row>
    <row r="492" spans="7:7" x14ac:dyDescent="0.25">
      <c r="G492" s="337"/>
    </row>
    <row r="493" spans="7:7" x14ac:dyDescent="0.25">
      <c r="G493" s="337"/>
    </row>
    <row r="494" spans="7:7" x14ac:dyDescent="0.25">
      <c r="G494" s="337"/>
    </row>
    <row r="495" spans="7:7" x14ac:dyDescent="0.25">
      <c r="G495" s="337"/>
    </row>
    <row r="496" spans="7:7" x14ac:dyDescent="0.25">
      <c r="G496" s="337"/>
    </row>
    <row r="497" spans="7:7" x14ac:dyDescent="0.25">
      <c r="G497" s="337"/>
    </row>
    <row r="498" spans="7:7" x14ac:dyDescent="0.25">
      <c r="G498" s="337"/>
    </row>
    <row r="499" spans="7:7" x14ac:dyDescent="0.25">
      <c r="G499" s="337"/>
    </row>
    <row r="500" spans="7:7" x14ac:dyDescent="0.25">
      <c r="G500" s="337"/>
    </row>
    <row r="501" spans="7:7" x14ac:dyDescent="0.25">
      <c r="G501" s="337"/>
    </row>
    <row r="502" spans="7:7" x14ac:dyDescent="0.25">
      <c r="G502" s="337"/>
    </row>
    <row r="503" spans="7:7" x14ac:dyDescent="0.25">
      <c r="G503" s="337"/>
    </row>
    <row r="504" spans="7:7" x14ac:dyDescent="0.25">
      <c r="G504" s="337"/>
    </row>
    <row r="505" spans="7:7" x14ac:dyDescent="0.25">
      <c r="G505" s="337"/>
    </row>
    <row r="506" spans="7:7" x14ac:dyDescent="0.25">
      <c r="G506" s="337"/>
    </row>
    <row r="507" spans="7:7" x14ac:dyDescent="0.25">
      <c r="G507" s="337"/>
    </row>
    <row r="508" spans="7:7" x14ac:dyDescent="0.25">
      <c r="G508" s="337"/>
    </row>
    <row r="509" spans="7:7" x14ac:dyDescent="0.25">
      <c r="G509" s="337"/>
    </row>
    <row r="510" spans="7:7" x14ac:dyDescent="0.25">
      <c r="G510" s="337"/>
    </row>
    <row r="511" spans="7:7" x14ac:dyDescent="0.25">
      <c r="G511" s="337"/>
    </row>
    <row r="512" spans="7:7" x14ac:dyDescent="0.25">
      <c r="G512" s="337"/>
    </row>
    <row r="513" spans="7:7" x14ac:dyDescent="0.25">
      <c r="G513" s="337"/>
    </row>
    <row r="514" spans="7:7" x14ac:dyDescent="0.25">
      <c r="G514" s="337"/>
    </row>
    <row r="515" spans="7:7" x14ac:dyDescent="0.25">
      <c r="G515" s="337"/>
    </row>
    <row r="516" spans="7:7" x14ac:dyDescent="0.25">
      <c r="G516" s="337"/>
    </row>
    <row r="517" spans="7:7" x14ac:dyDescent="0.25">
      <c r="G517" s="337"/>
    </row>
    <row r="518" spans="7:7" x14ac:dyDescent="0.25">
      <c r="G518" s="337"/>
    </row>
    <row r="519" spans="7:7" x14ac:dyDescent="0.25">
      <c r="G519" s="337"/>
    </row>
    <row r="520" spans="7:7" x14ac:dyDescent="0.25">
      <c r="G520" s="337"/>
    </row>
    <row r="521" spans="7:7" x14ac:dyDescent="0.25">
      <c r="G521" s="337"/>
    </row>
    <row r="522" spans="7:7" x14ac:dyDescent="0.25">
      <c r="G522" s="337"/>
    </row>
    <row r="523" spans="7:7" x14ac:dyDescent="0.25">
      <c r="G523" s="337"/>
    </row>
    <row r="524" spans="7:7" x14ac:dyDescent="0.25">
      <c r="G524" s="337"/>
    </row>
    <row r="525" spans="7:7" x14ac:dyDescent="0.25">
      <c r="G525" s="337"/>
    </row>
    <row r="526" spans="7:7" x14ac:dyDescent="0.25">
      <c r="G526" s="337"/>
    </row>
    <row r="527" spans="7:7" x14ac:dyDescent="0.25">
      <c r="G527" s="337"/>
    </row>
    <row r="528" spans="7:7" x14ac:dyDescent="0.25">
      <c r="G528" s="337"/>
    </row>
    <row r="529" spans="7:7" x14ac:dyDescent="0.25">
      <c r="G529" s="337"/>
    </row>
    <row r="530" spans="7:7" x14ac:dyDescent="0.25">
      <c r="G530" s="337"/>
    </row>
    <row r="531" spans="7:7" x14ac:dyDescent="0.25">
      <c r="G531" s="337"/>
    </row>
    <row r="532" spans="7:7" x14ac:dyDescent="0.25">
      <c r="G532" s="337"/>
    </row>
    <row r="533" spans="7:7" x14ac:dyDescent="0.25">
      <c r="G533" s="337"/>
    </row>
    <row r="534" spans="7:7" x14ac:dyDescent="0.25">
      <c r="G534" s="337"/>
    </row>
    <row r="535" spans="7:7" x14ac:dyDescent="0.25">
      <c r="G535" s="337"/>
    </row>
    <row r="536" spans="7:7" x14ac:dyDescent="0.25">
      <c r="G536" s="337"/>
    </row>
    <row r="537" spans="7:7" x14ac:dyDescent="0.25">
      <c r="G537" s="337"/>
    </row>
    <row r="538" spans="7:7" x14ac:dyDescent="0.25">
      <c r="G538" s="337"/>
    </row>
    <row r="539" spans="7:7" x14ac:dyDescent="0.25">
      <c r="G539" s="337"/>
    </row>
    <row r="540" spans="7:7" x14ac:dyDescent="0.25">
      <c r="G540" s="337"/>
    </row>
    <row r="541" spans="7:7" x14ac:dyDescent="0.25">
      <c r="G541" s="337"/>
    </row>
    <row r="542" spans="7:7" x14ac:dyDescent="0.25">
      <c r="G542" s="337"/>
    </row>
    <row r="543" spans="7:7" x14ac:dyDescent="0.25">
      <c r="G543" s="337"/>
    </row>
    <row r="544" spans="7:7" x14ac:dyDescent="0.25">
      <c r="G544" s="337"/>
    </row>
    <row r="545" spans="7:7" x14ac:dyDescent="0.25">
      <c r="G545" s="337"/>
    </row>
    <row r="546" spans="7:7" x14ac:dyDescent="0.25">
      <c r="G546" s="337"/>
    </row>
    <row r="547" spans="7:7" x14ac:dyDescent="0.25">
      <c r="G547" s="337"/>
    </row>
    <row r="548" spans="7:7" x14ac:dyDescent="0.25">
      <c r="G548" s="337"/>
    </row>
    <row r="549" spans="7:7" x14ac:dyDescent="0.25">
      <c r="G549" s="337"/>
    </row>
    <row r="550" spans="7:7" x14ac:dyDescent="0.25">
      <c r="G550" s="337"/>
    </row>
    <row r="551" spans="7:7" x14ac:dyDescent="0.25">
      <c r="G551" s="337"/>
    </row>
    <row r="552" spans="7:7" x14ac:dyDescent="0.25">
      <c r="G552" s="337"/>
    </row>
    <row r="553" spans="7:7" x14ac:dyDescent="0.25">
      <c r="G553" s="337"/>
    </row>
    <row r="554" spans="7:7" x14ac:dyDescent="0.25">
      <c r="G554" s="337"/>
    </row>
    <row r="555" spans="7:7" x14ac:dyDescent="0.25">
      <c r="G555" s="337"/>
    </row>
    <row r="556" spans="7:7" x14ac:dyDescent="0.25">
      <c r="G556" s="337"/>
    </row>
    <row r="557" spans="7:7" x14ac:dyDescent="0.25">
      <c r="G557" s="337"/>
    </row>
    <row r="558" spans="7:7" x14ac:dyDescent="0.25">
      <c r="G558" s="337"/>
    </row>
    <row r="559" spans="7:7" x14ac:dyDescent="0.25">
      <c r="G559" s="337"/>
    </row>
    <row r="560" spans="7:7" x14ac:dyDescent="0.25">
      <c r="G560" s="337"/>
    </row>
    <row r="561" spans="7:7" x14ac:dyDescent="0.25">
      <c r="G561" s="337"/>
    </row>
    <row r="562" spans="7:7" x14ac:dyDescent="0.25">
      <c r="G562" s="337"/>
    </row>
    <row r="563" spans="7:7" x14ac:dyDescent="0.25">
      <c r="G563" s="337"/>
    </row>
    <row r="564" spans="7:7" x14ac:dyDescent="0.25">
      <c r="G564" s="337"/>
    </row>
    <row r="565" spans="7:7" x14ac:dyDescent="0.25">
      <c r="G565" s="337"/>
    </row>
    <row r="566" spans="7:7" x14ac:dyDescent="0.25">
      <c r="G566" s="337"/>
    </row>
    <row r="567" spans="7:7" x14ac:dyDescent="0.25">
      <c r="G567" s="337"/>
    </row>
    <row r="568" spans="7:7" x14ac:dyDescent="0.25">
      <c r="G568" s="337"/>
    </row>
    <row r="569" spans="7:7" x14ac:dyDescent="0.25">
      <c r="G569" s="337"/>
    </row>
    <row r="570" spans="7:7" x14ac:dyDescent="0.25">
      <c r="G570" s="337"/>
    </row>
    <row r="571" spans="7:7" x14ac:dyDescent="0.25">
      <c r="G571" s="337"/>
    </row>
    <row r="572" spans="7:7" x14ac:dyDescent="0.25">
      <c r="G572" s="337"/>
    </row>
    <row r="573" spans="7:7" x14ac:dyDescent="0.25">
      <c r="G573" s="337"/>
    </row>
    <row r="574" spans="7:7" x14ac:dyDescent="0.25">
      <c r="G574" s="337"/>
    </row>
    <row r="575" spans="7:7" x14ac:dyDescent="0.25">
      <c r="G575" s="337"/>
    </row>
    <row r="576" spans="7:7" x14ac:dyDescent="0.25">
      <c r="G576" s="337"/>
    </row>
    <row r="577" spans="7:7" x14ac:dyDescent="0.25">
      <c r="G577" s="337"/>
    </row>
    <row r="578" spans="7:7" x14ac:dyDescent="0.25">
      <c r="G578" s="337"/>
    </row>
    <row r="579" spans="7:7" x14ac:dyDescent="0.25">
      <c r="G579" s="337"/>
    </row>
    <row r="580" spans="7:7" x14ac:dyDescent="0.25">
      <c r="G580" s="337"/>
    </row>
    <row r="581" spans="7:7" x14ac:dyDescent="0.25">
      <c r="G581" s="337"/>
    </row>
    <row r="582" spans="7:7" x14ac:dyDescent="0.25">
      <c r="G582" s="337"/>
    </row>
    <row r="583" spans="7:7" x14ac:dyDescent="0.25">
      <c r="G583" s="337"/>
    </row>
    <row r="584" spans="7:7" x14ac:dyDescent="0.25">
      <c r="G584" s="337"/>
    </row>
    <row r="585" spans="7:7" x14ac:dyDescent="0.25">
      <c r="G585" s="337"/>
    </row>
    <row r="586" spans="7:7" x14ac:dyDescent="0.25">
      <c r="G586" s="337"/>
    </row>
    <row r="587" spans="7:7" x14ac:dyDescent="0.25">
      <c r="G587" s="337"/>
    </row>
    <row r="588" spans="7:7" x14ac:dyDescent="0.25">
      <c r="G588" s="337"/>
    </row>
    <row r="589" spans="7:7" x14ac:dyDescent="0.25">
      <c r="G589" s="337"/>
    </row>
    <row r="590" spans="7:7" x14ac:dyDescent="0.25">
      <c r="G590" s="337"/>
    </row>
    <row r="591" spans="7:7" x14ac:dyDescent="0.25">
      <c r="G591" s="337"/>
    </row>
    <row r="592" spans="7:7" x14ac:dyDescent="0.25">
      <c r="G592" s="337"/>
    </row>
    <row r="593" spans="7:7" x14ac:dyDescent="0.25">
      <c r="G593" s="337"/>
    </row>
    <row r="594" spans="7:7" x14ac:dyDescent="0.25">
      <c r="G594" s="337"/>
    </row>
    <row r="595" spans="7:7" x14ac:dyDescent="0.25">
      <c r="G595" s="337"/>
    </row>
    <row r="596" spans="7:7" x14ac:dyDescent="0.25">
      <c r="G596" s="337"/>
    </row>
    <row r="597" spans="7:7" x14ac:dyDescent="0.25">
      <c r="G597" s="337"/>
    </row>
    <row r="598" spans="7:7" x14ac:dyDescent="0.25">
      <c r="G598" s="337"/>
    </row>
    <row r="599" spans="7:7" x14ac:dyDescent="0.25">
      <c r="G599" s="337"/>
    </row>
    <row r="600" spans="7:7" x14ac:dyDescent="0.25">
      <c r="G600" s="337"/>
    </row>
    <row r="601" spans="7:7" x14ac:dyDescent="0.25">
      <c r="G601" s="337"/>
    </row>
    <row r="602" spans="7:7" x14ac:dyDescent="0.25">
      <c r="G602" s="337"/>
    </row>
    <row r="603" spans="7:7" x14ac:dyDescent="0.25">
      <c r="G603" s="337"/>
    </row>
    <row r="604" spans="7:7" x14ac:dyDescent="0.25">
      <c r="G604" s="337"/>
    </row>
    <row r="605" spans="7:7" x14ac:dyDescent="0.25">
      <c r="G605" s="337"/>
    </row>
    <row r="606" spans="7:7" x14ac:dyDescent="0.25">
      <c r="G606" s="337"/>
    </row>
    <row r="607" spans="7:7" x14ac:dyDescent="0.25">
      <c r="G607" s="337"/>
    </row>
    <row r="608" spans="7:7" x14ac:dyDescent="0.25">
      <c r="G608" s="337"/>
    </row>
    <row r="609" spans="7:7" x14ac:dyDescent="0.25">
      <c r="G609" s="337"/>
    </row>
    <row r="610" spans="7:7" x14ac:dyDescent="0.25">
      <c r="G610" s="337"/>
    </row>
    <row r="611" spans="7:7" x14ac:dyDescent="0.25">
      <c r="G611" s="337"/>
    </row>
    <row r="612" spans="7:7" x14ac:dyDescent="0.25">
      <c r="G612" s="337"/>
    </row>
    <row r="613" spans="7:7" x14ac:dyDescent="0.25">
      <c r="G613" s="337"/>
    </row>
    <row r="614" spans="7:7" x14ac:dyDescent="0.25">
      <c r="G614" s="337"/>
    </row>
    <row r="615" spans="7:7" x14ac:dyDescent="0.25">
      <c r="G615" s="337"/>
    </row>
    <row r="616" spans="7:7" x14ac:dyDescent="0.25">
      <c r="G616" s="337"/>
    </row>
    <row r="617" spans="7:7" x14ac:dyDescent="0.25">
      <c r="G617" s="337"/>
    </row>
    <row r="618" spans="7:7" x14ac:dyDescent="0.25">
      <c r="G618" s="337"/>
    </row>
    <row r="619" spans="7:7" x14ac:dyDescent="0.25">
      <c r="G619" s="337"/>
    </row>
    <row r="620" spans="7:7" x14ac:dyDescent="0.25">
      <c r="G620" s="337"/>
    </row>
    <row r="621" spans="7:7" x14ac:dyDescent="0.25">
      <c r="G621" s="337"/>
    </row>
    <row r="622" spans="7:7" x14ac:dyDescent="0.25">
      <c r="G622" s="337"/>
    </row>
    <row r="623" spans="7:7" x14ac:dyDescent="0.25">
      <c r="G623" s="337"/>
    </row>
    <row r="624" spans="7:7" x14ac:dyDescent="0.25">
      <c r="G624" s="337"/>
    </row>
    <row r="625" spans="7:7" x14ac:dyDescent="0.25">
      <c r="G625" s="337"/>
    </row>
    <row r="626" spans="7:7" x14ac:dyDescent="0.25">
      <c r="G626" s="337"/>
    </row>
    <row r="627" spans="7:7" x14ac:dyDescent="0.25">
      <c r="G627" s="337"/>
    </row>
    <row r="628" spans="7:7" x14ac:dyDescent="0.25">
      <c r="G628" s="337"/>
    </row>
    <row r="629" spans="7:7" x14ac:dyDescent="0.25">
      <c r="G629" s="337"/>
    </row>
    <row r="630" spans="7:7" x14ac:dyDescent="0.25">
      <c r="G630" s="337"/>
    </row>
    <row r="631" spans="7:7" x14ac:dyDescent="0.25">
      <c r="G631" s="337"/>
    </row>
    <row r="632" spans="7:7" x14ac:dyDescent="0.25">
      <c r="G632" s="337"/>
    </row>
    <row r="633" spans="7:7" x14ac:dyDescent="0.25">
      <c r="G633" s="337"/>
    </row>
    <row r="634" spans="7:7" x14ac:dyDescent="0.25">
      <c r="G634" s="337"/>
    </row>
    <row r="635" spans="7:7" x14ac:dyDescent="0.25">
      <c r="G635" s="337"/>
    </row>
    <row r="636" spans="7:7" x14ac:dyDescent="0.25">
      <c r="G636" s="337"/>
    </row>
    <row r="637" spans="7:7" x14ac:dyDescent="0.25">
      <c r="G637" s="337"/>
    </row>
    <row r="638" spans="7:7" x14ac:dyDescent="0.25">
      <c r="G638" s="337"/>
    </row>
    <row r="639" spans="7:7" x14ac:dyDescent="0.25">
      <c r="G639" s="337"/>
    </row>
    <row r="640" spans="7:7" x14ac:dyDescent="0.25">
      <c r="G640" s="337"/>
    </row>
    <row r="641" spans="7:7" x14ac:dyDescent="0.25">
      <c r="G641" s="337"/>
    </row>
    <row r="642" spans="7:7" x14ac:dyDescent="0.25">
      <c r="G642" s="337"/>
    </row>
    <row r="643" spans="7:7" x14ac:dyDescent="0.25">
      <c r="G643" s="337"/>
    </row>
    <row r="644" spans="7:7" x14ac:dyDescent="0.25">
      <c r="G644" s="337"/>
    </row>
    <row r="645" spans="7:7" x14ac:dyDescent="0.25">
      <c r="G645" s="337"/>
    </row>
    <row r="646" spans="7:7" x14ac:dyDescent="0.25">
      <c r="G646" s="337"/>
    </row>
    <row r="647" spans="7:7" x14ac:dyDescent="0.25">
      <c r="G647" s="337"/>
    </row>
    <row r="648" spans="7:7" x14ac:dyDescent="0.25">
      <c r="G648" s="337"/>
    </row>
    <row r="649" spans="7:7" x14ac:dyDescent="0.25">
      <c r="G649" s="337"/>
    </row>
    <row r="650" spans="7:7" x14ac:dyDescent="0.25">
      <c r="G650" s="337"/>
    </row>
    <row r="651" spans="7:7" x14ac:dyDescent="0.25">
      <c r="G651" s="337"/>
    </row>
    <row r="652" spans="7:7" x14ac:dyDescent="0.25">
      <c r="G652" s="337"/>
    </row>
    <row r="653" spans="7:7" x14ac:dyDescent="0.25">
      <c r="G653" s="337"/>
    </row>
    <row r="654" spans="7:7" x14ac:dyDescent="0.25">
      <c r="G654" s="337"/>
    </row>
    <row r="655" spans="7:7" x14ac:dyDescent="0.25">
      <c r="G655" s="337"/>
    </row>
    <row r="656" spans="7:7" x14ac:dyDescent="0.25">
      <c r="G656" s="337"/>
    </row>
    <row r="657" spans="7:7" x14ac:dyDescent="0.25">
      <c r="G657" s="337"/>
    </row>
    <row r="658" spans="7:7" x14ac:dyDescent="0.25">
      <c r="G658" s="337"/>
    </row>
    <row r="659" spans="7:7" x14ac:dyDescent="0.25">
      <c r="G659" s="337"/>
    </row>
    <row r="660" spans="7:7" x14ac:dyDescent="0.25">
      <c r="G660" s="337"/>
    </row>
    <row r="661" spans="7:7" x14ac:dyDescent="0.25">
      <c r="G661" s="337"/>
    </row>
    <row r="662" spans="7:7" x14ac:dyDescent="0.25">
      <c r="G662" s="337"/>
    </row>
    <row r="663" spans="7:7" x14ac:dyDescent="0.25">
      <c r="G663" s="337"/>
    </row>
    <row r="664" spans="7:7" x14ac:dyDescent="0.25">
      <c r="G664" s="337"/>
    </row>
    <row r="665" spans="7:7" x14ac:dyDescent="0.25">
      <c r="G665" s="337"/>
    </row>
    <row r="666" spans="7:7" x14ac:dyDescent="0.25">
      <c r="G666" s="337"/>
    </row>
    <row r="667" spans="7:7" x14ac:dyDescent="0.25">
      <c r="G667" s="337"/>
    </row>
    <row r="668" spans="7:7" x14ac:dyDescent="0.25">
      <c r="G668" s="337"/>
    </row>
    <row r="669" spans="7:7" x14ac:dyDescent="0.25">
      <c r="G669" s="337"/>
    </row>
    <row r="670" spans="7:7" x14ac:dyDescent="0.25">
      <c r="G670" s="337"/>
    </row>
    <row r="671" spans="7:7" x14ac:dyDescent="0.25">
      <c r="G671" s="337"/>
    </row>
    <row r="672" spans="7:7" x14ac:dyDescent="0.25">
      <c r="G672" s="337"/>
    </row>
    <row r="673" spans="7:7" x14ac:dyDescent="0.25">
      <c r="G673" s="337"/>
    </row>
    <row r="674" spans="7:7" x14ac:dyDescent="0.25">
      <c r="G674" s="337"/>
    </row>
    <row r="675" spans="7:7" x14ac:dyDescent="0.25">
      <c r="G675" s="337"/>
    </row>
    <row r="676" spans="7:7" x14ac:dyDescent="0.25">
      <c r="G676" s="337"/>
    </row>
    <row r="677" spans="7:7" x14ac:dyDescent="0.25">
      <c r="G677" s="337"/>
    </row>
    <row r="678" spans="7:7" x14ac:dyDescent="0.25">
      <c r="G678" s="337"/>
    </row>
    <row r="679" spans="7:7" x14ac:dyDescent="0.25">
      <c r="G679" s="337"/>
    </row>
    <row r="680" spans="7:7" x14ac:dyDescent="0.25">
      <c r="G680" s="337"/>
    </row>
    <row r="681" spans="7:7" x14ac:dyDescent="0.25">
      <c r="G681" s="337"/>
    </row>
    <row r="682" spans="7:7" x14ac:dyDescent="0.25">
      <c r="G682" s="337"/>
    </row>
    <row r="683" spans="7:7" x14ac:dyDescent="0.25">
      <c r="G683" s="337"/>
    </row>
    <row r="684" spans="7:7" x14ac:dyDescent="0.25">
      <c r="G684" s="337"/>
    </row>
    <row r="685" spans="7:7" x14ac:dyDescent="0.25">
      <c r="G685" s="337"/>
    </row>
    <row r="686" spans="7:7" x14ac:dyDescent="0.25">
      <c r="G686" s="337"/>
    </row>
    <row r="687" spans="7:7" x14ac:dyDescent="0.25">
      <c r="G687" s="337"/>
    </row>
    <row r="688" spans="7:7" x14ac:dyDescent="0.25">
      <c r="G688" s="337"/>
    </row>
    <row r="689" spans="7:7" x14ac:dyDescent="0.25">
      <c r="G689" s="337"/>
    </row>
    <row r="690" spans="7:7" x14ac:dyDescent="0.25">
      <c r="G690" s="337"/>
    </row>
    <row r="691" spans="7:7" x14ac:dyDescent="0.25">
      <c r="G691" s="337"/>
    </row>
    <row r="692" spans="7:7" x14ac:dyDescent="0.25">
      <c r="G692" s="337"/>
    </row>
    <row r="693" spans="7:7" x14ac:dyDescent="0.25">
      <c r="G693" s="337"/>
    </row>
    <row r="694" spans="7:7" x14ac:dyDescent="0.25">
      <c r="G694" s="337"/>
    </row>
    <row r="695" spans="7:7" x14ac:dyDescent="0.25">
      <c r="G695" s="337"/>
    </row>
    <row r="696" spans="7:7" x14ac:dyDescent="0.25">
      <c r="G696" s="337"/>
    </row>
    <row r="697" spans="7:7" x14ac:dyDescent="0.25">
      <c r="G697" s="337"/>
    </row>
    <row r="698" spans="7:7" x14ac:dyDescent="0.25">
      <c r="G698" s="337"/>
    </row>
    <row r="699" spans="7:7" x14ac:dyDescent="0.25">
      <c r="G699" s="337"/>
    </row>
    <row r="700" spans="7:7" x14ac:dyDescent="0.25">
      <c r="G700" s="337"/>
    </row>
    <row r="701" spans="7:7" x14ac:dyDescent="0.25">
      <c r="G701" s="337"/>
    </row>
    <row r="702" spans="7:7" x14ac:dyDescent="0.25">
      <c r="G702" s="337"/>
    </row>
    <row r="703" spans="7:7" x14ac:dyDescent="0.25">
      <c r="G703" s="337"/>
    </row>
    <row r="704" spans="7:7" x14ac:dyDescent="0.25">
      <c r="G704" s="337"/>
    </row>
    <row r="705" spans="7:7" x14ac:dyDescent="0.25">
      <c r="G705" s="337"/>
    </row>
    <row r="706" spans="7:7" x14ac:dyDescent="0.25">
      <c r="G706" s="337"/>
    </row>
    <row r="707" spans="7:7" x14ac:dyDescent="0.25">
      <c r="G707" s="337"/>
    </row>
    <row r="708" spans="7:7" x14ac:dyDescent="0.25">
      <c r="G708" s="337"/>
    </row>
    <row r="709" spans="7:7" x14ac:dyDescent="0.25">
      <c r="G709" s="337"/>
    </row>
    <row r="710" spans="7:7" x14ac:dyDescent="0.25">
      <c r="G710" s="337"/>
    </row>
    <row r="711" spans="7:7" x14ac:dyDescent="0.25">
      <c r="G711" s="337"/>
    </row>
    <row r="712" spans="7:7" x14ac:dyDescent="0.25">
      <c r="G712" s="337"/>
    </row>
    <row r="713" spans="7:7" x14ac:dyDescent="0.25">
      <c r="G713" s="337"/>
    </row>
    <row r="714" spans="7:7" x14ac:dyDescent="0.25">
      <c r="G714" s="337"/>
    </row>
    <row r="715" spans="7:7" x14ac:dyDescent="0.25">
      <c r="G715" s="337"/>
    </row>
    <row r="716" spans="7:7" x14ac:dyDescent="0.25">
      <c r="G716" s="337"/>
    </row>
    <row r="717" spans="7:7" x14ac:dyDescent="0.25">
      <c r="G717" s="337"/>
    </row>
    <row r="718" spans="7:7" x14ac:dyDescent="0.25">
      <c r="G718" s="337"/>
    </row>
    <row r="719" spans="7:7" x14ac:dyDescent="0.25">
      <c r="G719" s="337"/>
    </row>
    <row r="720" spans="7:7" x14ac:dyDescent="0.25">
      <c r="G720" s="337"/>
    </row>
    <row r="721" spans="7:7" x14ac:dyDescent="0.25">
      <c r="G721" s="337"/>
    </row>
    <row r="722" spans="7:7" x14ac:dyDescent="0.25">
      <c r="G722" s="337"/>
    </row>
    <row r="723" spans="7:7" x14ac:dyDescent="0.25">
      <c r="G723" s="337"/>
    </row>
    <row r="724" spans="7:7" x14ac:dyDescent="0.25">
      <c r="G724" s="337"/>
    </row>
    <row r="725" spans="7:7" x14ac:dyDescent="0.25">
      <c r="G725" s="337"/>
    </row>
    <row r="726" spans="7:7" x14ac:dyDescent="0.25">
      <c r="G726" s="337"/>
    </row>
    <row r="727" spans="7:7" x14ac:dyDescent="0.25">
      <c r="G727" s="337"/>
    </row>
    <row r="728" spans="7:7" x14ac:dyDescent="0.25">
      <c r="G728" s="337"/>
    </row>
    <row r="729" spans="7:7" x14ac:dyDescent="0.25">
      <c r="G729" s="337"/>
    </row>
    <row r="730" spans="7:7" x14ac:dyDescent="0.25">
      <c r="G730" s="337"/>
    </row>
    <row r="731" spans="7:7" x14ac:dyDescent="0.25">
      <c r="G731" s="337"/>
    </row>
    <row r="732" spans="7:7" x14ac:dyDescent="0.25">
      <c r="G732" s="337"/>
    </row>
    <row r="733" spans="7:7" x14ac:dyDescent="0.25">
      <c r="G733" s="337"/>
    </row>
    <row r="734" spans="7:7" x14ac:dyDescent="0.25">
      <c r="G734" s="337"/>
    </row>
    <row r="735" spans="7:7" x14ac:dyDescent="0.25">
      <c r="G735" s="337"/>
    </row>
    <row r="736" spans="7:7" x14ac:dyDescent="0.25">
      <c r="G736" s="337"/>
    </row>
    <row r="737" spans="7:7" x14ac:dyDescent="0.25">
      <c r="G737" s="337"/>
    </row>
    <row r="738" spans="7:7" x14ac:dyDescent="0.25">
      <c r="G738" s="337"/>
    </row>
    <row r="739" spans="7:7" x14ac:dyDescent="0.25">
      <c r="G739" s="337"/>
    </row>
    <row r="740" spans="7:7" x14ac:dyDescent="0.25">
      <c r="G740" s="337"/>
    </row>
    <row r="741" spans="7:7" x14ac:dyDescent="0.25">
      <c r="G741" s="337"/>
    </row>
    <row r="742" spans="7:7" x14ac:dyDescent="0.25">
      <c r="G742" s="337"/>
    </row>
    <row r="743" spans="7:7" x14ac:dyDescent="0.25">
      <c r="G743" s="337"/>
    </row>
    <row r="744" spans="7:7" x14ac:dyDescent="0.25">
      <c r="G744" s="337"/>
    </row>
    <row r="745" spans="7:7" x14ac:dyDescent="0.25">
      <c r="G745" s="337"/>
    </row>
    <row r="746" spans="7:7" x14ac:dyDescent="0.25">
      <c r="G746" s="337"/>
    </row>
    <row r="747" spans="7:7" x14ac:dyDescent="0.25">
      <c r="G747" s="337"/>
    </row>
    <row r="748" spans="7:7" x14ac:dyDescent="0.25">
      <c r="G748" s="337"/>
    </row>
    <row r="749" spans="7:7" x14ac:dyDescent="0.25">
      <c r="G749" s="337"/>
    </row>
    <row r="750" spans="7:7" x14ac:dyDescent="0.25">
      <c r="G750" s="337"/>
    </row>
    <row r="751" spans="7:7" x14ac:dyDescent="0.25">
      <c r="G751" s="337"/>
    </row>
    <row r="752" spans="7:7" x14ac:dyDescent="0.25">
      <c r="G752" s="337"/>
    </row>
    <row r="753" spans="7:7" x14ac:dyDescent="0.25">
      <c r="G753" s="337"/>
    </row>
    <row r="754" spans="7:7" x14ac:dyDescent="0.25">
      <c r="G754" s="337"/>
    </row>
    <row r="755" spans="7:7" x14ac:dyDescent="0.25">
      <c r="G755" s="337"/>
    </row>
    <row r="756" spans="7:7" x14ac:dyDescent="0.25">
      <c r="G756" s="337"/>
    </row>
    <row r="757" spans="7:7" x14ac:dyDescent="0.25">
      <c r="G757" s="337"/>
    </row>
    <row r="758" spans="7:7" x14ac:dyDescent="0.25">
      <c r="G758" s="337"/>
    </row>
    <row r="759" spans="7:7" x14ac:dyDescent="0.25">
      <c r="G759" s="337"/>
    </row>
    <row r="760" spans="7:7" x14ac:dyDescent="0.25">
      <c r="G760" s="337"/>
    </row>
    <row r="761" spans="7:7" x14ac:dyDescent="0.25">
      <c r="G761" s="337"/>
    </row>
    <row r="762" spans="7:7" x14ac:dyDescent="0.25">
      <c r="G762" s="337"/>
    </row>
    <row r="763" spans="7:7" x14ac:dyDescent="0.25">
      <c r="G763" s="337"/>
    </row>
    <row r="764" spans="7:7" x14ac:dyDescent="0.25">
      <c r="G764" s="337"/>
    </row>
    <row r="765" spans="7:7" x14ac:dyDescent="0.25">
      <c r="G765" s="337"/>
    </row>
    <row r="766" spans="7:7" x14ac:dyDescent="0.25">
      <c r="G766" s="337"/>
    </row>
    <row r="767" spans="7:7" x14ac:dyDescent="0.25">
      <c r="G767" s="337"/>
    </row>
    <row r="768" spans="7:7" x14ac:dyDescent="0.25">
      <c r="G768" s="337"/>
    </row>
    <row r="769" spans="7:7" x14ac:dyDescent="0.25">
      <c r="G769" s="337"/>
    </row>
    <row r="770" spans="7:7" x14ac:dyDescent="0.25">
      <c r="G770" s="337"/>
    </row>
    <row r="771" spans="7:7" x14ac:dyDescent="0.25">
      <c r="G771" s="337"/>
    </row>
    <row r="772" spans="7:7" x14ac:dyDescent="0.25">
      <c r="G772" s="337"/>
    </row>
    <row r="773" spans="7:7" x14ac:dyDescent="0.25">
      <c r="G773" s="337"/>
    </row>
    <row r="774" spans="7:7" x14ac:dyDescent="0.25">
      <c r="G774" s="337"/>
    </row>
    <row r="775" spans="7:7" x14ac:dyDescent="0.25">
      <c r="G775" s="337"/>
    </row>
    <row r="776" spans="7:7" x14ac:dyDescent="0.25">
      <c r="G776" s="337"/>
    </row>
    <row r="777" spans="7:7" x14ac:dyDescent="0.25">
      <c r="G777" s="337"/>
    </row>
    <row r="778" spans="7:7" x14ac:dyDescent="0.25">
      <c r="G778" s="337"/>
    </row>
    <row r="779" spans="7:7" x14ac:dyDescent="0.25">
      <c r="G779" s="337"/>
    </row>
    <row r="780" spans="7:7" x14ac:dyDescent="0.25">
      <c r="G780" s="337"/>
    </row>
    <row r="781" spans="7:7" x14ac:dyDescent="0.25">
      <c r="G781" s="337"/>
    </row>
    <row r="782" spans="7:7" x14ac:dyDescent="0.25">
      <c r="G782" s="337"/>
    </row>
    <row r="783" spans="7:7" x14ac:dyDescent="0.25">
      <c r="G783" s="337"/>
    </row>
    <row r="784" spans="7:7" x14ac:dyDescent="0.25">
      <c r="G784" s="337"/>
    </row>
    <row r="785" spans="7:7" x14ac:dyDescent="0.25">
      <c r="G785" s="337"/>
    </row>
    <row r="786" spans="7:7" x14ac:dyDescent="0.25">
      <c r="G786" s="337"/>
    </row>
    <row r="787" spans="7:7" x14ac:dyDescent="0.25">
      <c r="G787" s="337"/>
    </row>
    <row r="788" spans="7:7" x14ac:dyDescent="0.25">
      <c r="G788" s="337"/>
    </row>
    <row r="789" spans="7:7" x14ac:dyDescent="0.25">
      <c r="G789" s="337"/>
    </row>
    <row r="790" spans="7:7" x14ac:dyDescent="0.25">
      <c r="G790" s="337"/>
    </row>
    <row r="791" spans="7:7" x14ac:dyDescent="0.25">
      <c r="G791" s="337"/>
    </row>
    <row r="792" spans="7:7" x14ac:dyDescent="0.25">
      <c r="G792" s="337"/>
    </row>
    <row r="793" spans="7:7" x14ac:dyDescent="0.25">
      <c r="G793" s="337"/>
    </row>
    <row r="794" spans="7:7" x14ac:dyDescent="0.25">
      <c r="G794" s="337"/>
    </row>
    <row r="795" spans="7:7" x14ac:dyDescent="0.25">
      <c r="G795" s="337"/>
    </row>
    <row r="796" spans="7:7" x14ac:dyDescent="0.25">
      <c r="G796" s="337"/>
    </row>
    <row r="797" spans="7:7" x14ac:dyDescent="0.25">
      <c r="G797" s="337"/>
    </row>
    <row r="798" spans="7:7" x14ac:dyDescent="0.25">
      <c r="G798" s="337"/>
    </row>
    <row r="799" spans="7:7" x14ac:dyDescent="0.25">
      <c r="G799" s="337"/>
    </row>
    <row r="800" spans="7:7" x14ac:dyDescent="0.25">
      <c r="G800" s="337"/>
    </row>
    <row r="801" spans="7:7" x14ac:dyDescent="0.25">
      <c r="G801" s="337"/>
    </row>
    <row r="802" spans="7:7" x14ac:dyDescent="0.25">
      <c r="G802" s="337"/>
    </row>
    <row r="803" spans="7:7" x14ac:dyDescent="0.25">
      <c r="G803" s="337"/>
    </row>
    <row r="804" spans="7:7" x14ac:dyDescent="0.25">
      <c r="G804" s="337"/>
    </row>
    <row r="805" spans="7:7" x14ac:dyDescent="0.25">
      <c r="G805" s="337"/>
    </row>
    <row r="806" spans="7:7" x14ac:dyDescent="0.25">
      <c r="G806" s="337"/>
    </row>
    <row r="807" spans="7:7" x14ac:dyDescent="0.25">
      <c r="G807" s="337"/>
    </row>
    <row r="808" spans="7:7" x14ac:dyDescent="0.25">
      <c r="G808" s="337"/>
    </row>
    <row r="809" spans="7:7" x14ac:dyDescent="0.25">
      <c r="G809" s="337"/>
    </row>
    <row r="810" spans="7:7" x14ac:dyDescent="0.25">
      <c r="G810" s="337"/>
    </row>
    <row r="811" spans="7:7" x14ac:dyDescent="0.25">
      <c r="G811" s="337"/>
    </row>
    <row r="812" spans="7:7" x14ac:dyDescent="0.25">
      <c r="G812" s="337"/>
    </row>
    <row r="813" spans="7:7" x14ac:dyDescent="0.25">
      <c r="G813" s="337"/>
    </row>
    <row r="814" spans="7:7" x14ac:dyDescent="0.25">
      <c r="G814" s="337"/>
    </row>
    <row r="815" spans="7:7" x14ac:dyDescent="0.25">
      <c r="G815" s="337"/>
    </row>
    <row r="816" spans="7:7" x14ac:dyDescent="0.25">
      <c r="G816" s="337"/>
    </row>
    <row r="817" spans="7:7" x14ac:dyDescent="0.25">
      <c r="G817" s="337"/>
    </row>
    <row r="818" spans="7:7" x14ac:dyDescent="0.25">
      <c r="G818" s="337"/>
    </row>
    <row r="819" spans="7:7" x14ac:dyDescent="0.25">
      <c r="G819" s="337"/>
    </row>
    <row r="820" spans="7:7" x14ac:dyDescent="0.25">
      <c r="G820" s="337"/>
    </row>
    <row r="821" spans="7:7" x14ac:dyDescent="0.25">
      <c r="G821" s="337"/>
    </row>
    <row r="822" spans="7:7" x14ac:dyDescent="0.25">
      <c r="G822" s="337"/>
    </row>
    <row r="823" spans="7:7" x14ac:dyDescent="0.25">
      <c r="G823" s="337"/>
    </row>
    <row r="824" spans="7:7" x14ac:dyDescent="0.25">
      <c r="G824" s="337"/>
    </row>
    <row r="825" spans="7:7" x14ac:dyDescent="0.25">
      <c r="G825" s="337"/>
    </row>
    <row r="826" spans="7:7" x14ac:dyDescent="0.25">
      <c r="G826" s="337"/>
    </row>
    <row r="827" spans="7:7" x14ac:dyDescent="0.25">
      <c r="G827" s="337"/>
    </row>
    <row r="828" spans="7:7" x14ac:dyDescent="0.25">
      <c r="G828" s="337"/>
    </row>
    <row r="829" spans="7:7" x14ac:dyDescent="0.25">
      <c r="G829" s="337"/>
    </row>
    <row r="830" spans="7:7" x14ac:dyDescent="0.25">
      <c r="G830" s="337"/>
    </row>
    <row r="831" spans="7:7" x14ac:dyDescent="0.25">
      <c r="G831" s="337"/>
    </row>
    <row r="832" spans="7:7" x14ac:dyDescent="0.25">
      <c r="G832" s="337"/>
    </row>
    <row r="833" spans="7:7" x14ac:dyDescent="0.25">
      <c r="G833" s="337"/>
    </row>
    <row r="834" spans="7:7" x14ac:dyDescent="0.25">
      <c r="G834" s="337"/>
    </row>
    <row r="835" spans="7:7" x14ac:dyDescent="0.25">
      <c r="G835" s="337"/>
    </row>
    <row r="836" spans="7:7" x14ac:dyDescent="0.25">
      <c r="G836" s="337"/>
    </row>
    <row r="837" spans="7:7" x14ac:dyDescent="0.25">
      <c r="G837" s="337"/>
    </row>
    <row r="838" spans="7:7" x14ac:dyDescent="0.25">
      <c r="G838" s="337"/>
    </row>
    <row r="839" spans="7:7" x14ac:dyDescent="0.25">
      <c r="G839" s="337"/>
    </row>
    <row r="840" spans="7:7" x14ac:dyDescent="0.25">
      <c r="G840" s="337"/>
    </row>
    <row r="841" spans="7:7" x14ac:dyDescent="0.25">
      <c r="G841" s="337"/>
    </row>
    <row r="842" spans="7:7" x14ac:dyDescent="0.25">
      <c r="G842" s="337"/>
    </row>
    <row r="843" spans="7:7" x14ac:dyDescent="0.25">
      <c r="G843" s="337"/>
    </row>
    <row r="844" spans="7:7" x14ac:dyDescent="0.25">
      <c r="G844" s="337"/>
    </row>
    <row r="845" spans="7:7" x14ac:dyDescent="0.25">
      <c r="G845" s="337"/>
    </row>
    <row r="846" spans="7:7" x14ac:dyDescent="0.25">
      <c r="G846" s="337"/>
    </row>
    <row r="847" spans="7:7" x14ac:dyDescent="0.25">
      <c r="G847" s="337"/>
    </row>
    <row r="848" spans="7:7" x14ac:dyDescent="0.25">
      <c r="G848" s="337"/>
    </row>
    <row r="849" spans="7:7" x14ac:dyDescent="0.25">
      <c r="G849" s="337"/>
    </row>
    <row r="850" spans="7:7" x14ac:dyDescent="0.25">
      <c r="G850" s="337"/>
    </row>
    <row r="851" spans="7:7" x14ac:dyDescent="0.25">
      <c r="G851" s="337"/>
    </row>
    <row r="852" spans="7:7" x14ac:dyDescent="0.25">
      <c r="G852" s="337"/>
    </row>
    <row r="853" spans="7:7" x14ac:dyDescent="0.25">
      <c r="G853" s="337"/>
    </row>
    <row r="854" spans="7:7" x14ac:dyDescent="0.25">
      <c r="G854" s="337"/>
    </row>
    <row r="855" spans="7:7" x14ac:dyDescent="0.25">
      <c r="G855" s="337"/>
    </row>
    <row r="856" spans="7:7" x14ac:dyDescent="0.25">
      <c r="G856" s="337"/>
    </row>
    <row r="857" spans="7:7" x14ac:dyDescent="0.25">
      <c r="G857" s="337"/>
    </row>
    <row r="858" spans="7:7" x14ac:dyDescent="0.25">
      <c r="G858" s="337"/>
    </row>
    <row r="859" spans="7:7" x14ac:dyDescent="0.25">
      <c r="G859" s="337"/>
    </row>
    <row r="860" spans="7:7" x14ac:dyDescent="0.25">
      <c r="G860" s="337"/>
    </row>
    <row r="861" spans="7:7" x14ac:dyDescent="0.25">
      <c r="G861" s="337"/>
    </row>
    <row r="862" spans="7:7" x14ac:dyDescent="0.25">
      <c r="G862" s="337"/>
    </row>
    <row r="863" spans="7:7" x14ac:dyDescent="0.25">
      <c r="G863" s="337"/>
    </row>
    <row r="864" spans="7:7" x14ac:dyDescent="0.25">
      <c r="G864" s="337"/>
    </row>
    <row r="865" spans="7:7" x14ac:dyDescent="0.25">
      <c r="G865" s="337"/>
    </row>
    <row r="866" spans="7:7" x14ac:dyDescent="0.25">
      <c r="G866" s="337"/>
    </row>
    <row r="867" spans="7:7" x14ac:dyDescent="0.25">
      <c r="G867" s="337"/>
    </row>
    <row r="868" spans="7:7" x14ac:dyDescent="0.25">
      <c r="G868" s="337"/>
    </row>
    <row r="869" spans="7:7" x14ac:dyDescent="0.25">
      <c r="G869" s="337"/>
    </row>
    <row r="870" spans="7:7" x14ac:dyDescent="0.25">
      <c r="G870" s="337"/>
    </row>
    <row r="871" spans="7:7" x14ac:dyDescent="0.25">
      <c r="G871" s="337"/>
    </row>
    <row r="872" spans="7:7" x14ac:dyDescent="0.25">
      <c r="G872" s="337"/>
    </row>
    <row r="873" spans="7:7" x14ac:dyDescent="0.25">
      <c r="G873" s="337"/>
    </row>
    <row r="874" spans="7:7" x14ac:dyDescent="0.25">
      <c r="G874" s="337"/>
    </row>
    <row r="875" spans="7:7" x14ac:dyDescent="0.25">
      <c r="G875" s="337"/>
    </row>
    <row r="876" spans="7:7" x14ac:dyDescent="0.25">
      <c r="G876" s="337"/>
    </row>
    <row r="877" spans="7:7" x14ac:dyDescent="0.25">
      <c r="G877" s="337"/>
    </row>
    <row r="878" spans="7:7" x14ac:dyDescent="0.25">
      <c r="G878" s="337"/>
    </row>
    <row r="879" spans="7:7" x14ac:dyDescent="0.25">
      <c r="G879" s="337"/>
    </row>
    <row r="880" spans="7:7" x14ac:dyDescent="0.25">
      <c r="G880" s="337"/>
    </row>
    <row r="881" spans="7:7" x14ac:dyDescent="0.25">
      <c r="G881" s="337"/>
    </row>
    <row r="882" spans="7:7" x14ac:dyDescent="0.25">
      <c r="G882" s="337"/>
    </row>
    <row r="883" spans="7:7" x14ac:dyDescent="0.25">
      <c r="G883" s="337"/>
    </row>
    <row r="884" spans="7:7" x14ac:dyDescent="0.25">
      <c r="G884" s="337"/>
    </row>
    <row r="885" spans="7:7" x14ac:dyDescent="0.25">
      <c r="G885" s="337"/>
    </row>
    <row r="886" spans="7:7" x14ac:dyDescent="0.25">
      <c r="G886" s="337"/>
    </row>
    <row r="887" spans="7:7" x14ac:dyDescent="0.25">
      <c r="G887" s="337"/>
    </row>
    <row r="888" spans="7:7" x14ac:dyDescent="0.25">
      <c r="G888" s="337"/>
    </row>
    <row r="889" spans="7:7" x14ac:dyDescent="0.25">
      <c r="G889" s="337"/>
    </row>
    <row r="890" spans="7:7" x14ac:dyDescent="0.25">
      <c r="G890" s="337"/>
    </row>
    <row r="891" spans="7:7" x14ac:dyDescent="0.25">
      <c r="G891" s="337"/>
    </row>
    <row r="892" spans="7:7" x14ac:dyDescent="0.25">
      <c r="G892" s="337"/>
    </row>
    <row r="893" spans="7:7" x14ac:dyDescent="0.25">
      <c r="G893" s="337"/>
    </row>
    <row r="894" spans="7:7" x14ac:dyDescent="0.25">
      <c r="G894" s="337"/>
    </row>
    <row r="895" spans="7:7" x14ac:dyDescent="0.25">
      <c r="G895" s="337"/>
    </row>
    <row r="896" spans="7:7" x14ac:dyDescent="0.25">
      <c r="G896" s="337"/>
    </row>
    <row r="897" spans="7:7" x14ac:dyDescent="0.25">
      <c r="G897" s="337"/>
    </row>
    <row r="898" spans="7:7" x14ac:dyDescent="0.25">
      <c r="G898" s="337"/>
    </row>
    <row r="899" spans="7:7" x14ac:dyDescent="0.25">
      <c r="G899" s="337"/>
    </row>
    <row r="900" spans="7:7" x14ac:dyDescent="0.25">
      <c r="G900" s="337"/>
    </row>
    <row r="901" spans="7:7" x14ac:dyDescent="0.25">
      <c r="G901" s="337"/>
    </row>
    <row r="902" spans="7:7" x14ac:dyDescent="0.25">
      <c r="G902" s="337"/>
    </row>
    <row r="903" spans="7:7" x14ac:dyDescent="0.25">
      <c r="G903" s="337"/>
    </row>
    <row r="904" spans="7:7" x14ac:dyDescent="0.25">
      <c r="G904" s="337"/>
    </row>
    <row r="905" spans="7:7" x14ac:dyDescent="0.25">
      <c r="G905" s="337"/>
    </row>
    <row r="906" spans="7:7" x14ac:dyDescent="0.25">
      <c r="G906" s="337"/>
    </row>
    <row r="907" spans="7:7" x14ac:dyDescent="0.25">
      <c r="G907" s="337"/>
    </row>
    <row r="908" spans="7:7" x14ac:dyDescent="0.25">
      <c r="G908" s="337"/>
    </row>
    <row r="909" spans="7:7" x14ac:dyDescent="0.25">
      <c r="G909" s="337"/>
    </row>
    <row r="910" spans="7:7" x14ac:dyDescent="0.25">
      <c r="G910" s="337"/>
    </row>
    <row r="911" spans="7:7" x14ac:dyDescent="0.25">
      <c r="G911" s="337"/>
    </row>
    <row r="912" spans="7:7" x14ac:dyDescent="0.25">
      <c r="G912" s="337"/>
    </row>
    <row r="913" spans="7:7" x14ac:dyDescent="0.25">
      <c r="G913" s="337"/>
    </row>
    <row r="914" spans="7:7" x14ac:dyDescent="0.25">
      <c r="G914" s="337"/>
    </row>
    <row r="915" spans="7:7" x14ac:dyDescent="0.25">
      <c r="G915" s="337"/>
    </row>
    <row r="916" spans="7:7" x14ac:dyDescent="0.25">
      <c r="G916" s="337"/>
    </row>
    <row r="917" spans="7:7" x14ac:dyDescent="0.25">
      <c r="G917" s="337"/>
    </row>
    <row r="918" spans="7:7" x14ac:dyDescent="0.25">
      <c r="G918" s="337"/>
    </row>
    <row r="919" spans="7:7" x14ac:dyDescent="0.25">
      <c r="G919" s="337"/>
    </row>
    <row r="920" spans="7:7" x14ac:dyDescent="0.25">
      <c r="G920" s="337"/>
    </row>
    <row r="921" spans="7:7" x14ac:dyDescent="0.25">
      <c r="G921" s="337"/>
    </row>
    <row r="922" spans="7:7" x14ac:dyDescent="0.25">
      <c r="G922" s="337"/>
    </row>
    <row r="923" spans="7:7" x14ac:dyDescent="0.25">
      <c r="G923" s="337"/>
    </row>
    <row r="924" spans="7:7" x14ac:dyDescent="0.25">
      <c r="G924" s="337"/>
    </row>
    <row r="925" spans="7:7" x14ac:dyDescent="0.25">
      <c r="G925" s="337"/>
    </row>
    <row r="926" spans="7:7" x14ac:dyDescent="0.25">
      <c r="G926" s="337"/>
    </row>
    <row r="927" spans="7:7" x14ac:dyDescent="0.25">
      <c r="G927" s="337"/>
    </row>
    <row r="928" spans="7:7" x14ac:dyDescent="0.25">
      <c r="G928" s="337"/>
    </row>
    <row r="929" spans="7:7" x14ac:dyDescent="0.25">
      <c r="G929" s="337"/>
    </row>
    <row r="930" spans="7:7" x14ac:dyDescent="0.25">
      <c r="G930" s="337"/>
    </row>
    <row r="931" spans="7:7" x14ac:dyDescent="0.25">
      <c r="G931" s="337"/>
    </row>
    <row r="932" spans="7:7" x14ac:dyDescent="0.25">
      <c r="G932" s="337"/>
    </row>
    <row r="933" spans="7:7" x14ac:dyDescent="0.25">
      <c r="G933" s="337"/>
    </row>
    <row r="934" spans="7:7" x14ac:dyDescent="0.25">
      <c r="G934" s="337"/>
    </row>
    <row r="935" spans="7:7" x14ac:dyDescent="0.25">
      <c r="G935" s="337"/>
    </row>
    <row r="936" spans="7:7" x14ac:dyDescent="0.25">
      <c r="G936" s="337"/>
    </row>
    <row r="937" spans="7:7" x14ac:dyDescent="0.25">
      <c r="G937" s="337"/>
    </row>
    <row r="938" spans="7:7" x14ac:dyDescent="0.25">
      <c r="G938" s="337"/>
    </row>
    <row r="939" spans="7:7" x14ac:dyDescent="0.25">
      <c r="G939" s="337"/>
    </row>
    <row r="940" spans="7:7" x14ac:dyDescent="0.25">
      <c r="G940" s="337"/>
    </row>
    <row r="941" spans="7:7" x14ac:dyDescent="0.25">
      <c r="G941" s="337"/>
    </row>
    <row r="942" spans="7:7" x14ac:dyDescent="0.25">
      <c r="G942" s="337"/>
    </row>
    <row r="943" spans="7:7" x14ac:dyDescent="0.25">
      <c r="G943" s="337"/>
    </row>
    <row r="944" spans="7:7" x14ac:dyDescent="0.25">
      <c r="G944" s="337"/>
    </row>
    <row r="945" spans="7:7" x14ac:dyDescent="0.25">
      <c r="G945" s="337"/>
    </row>
    <row r="946" spans="7:7" x14ac:dyDescent="0.25">
      <c r="G946" s="337"/>
    </row>
    <row r="947" spans="7:7" x14ac:dyDescent="0.25">
      <c r="G947" s="337"/>
    </row>
    <row r="948" spans="7:7" x14ac:dyDescent="0.25">
      <c r="G948" s="337"/>
    </row>
    <row r="949" spans="7:7" x14ac:dyDescent="0.25">
      <c r="G949" s="337"/>
    </row>
    <row r="950" spans="7:7" x14ac:dyDescent="0.25">
      <c r="G950" s="337"/>
    </row>
    <row r="951" spans="7:7" x14ac:dyDescent="0.25">
      <c r="G951" s="337"/>
    </row>
    <row r="952" spans="7:7" x14ac:dyDescent="0.25">
      <c r="G952" s="337"/>
    </row>
    <row r="953" spans="7:7" x14ac:dyDescent="0.25">
      <c r="G953" s="337"/>
    </row>
    <row r="954" spans="7:7" x14ac:dyDescent="0.25">
      <c r="G954" s="337"/>
    </row>
    <row r="955" spans="7:7" x14ac:dyDescent="0.25">
      <c r="G955" s="337"/>
    </row>
    <row r="956" spans="7:7" x14ac:dyDescent="0.25">
      <c r="G956" s="337"/>
    </row>
    <row r="957" spans="7:7" x14ac:dyDescent="0.25">
      <c r="G957" s="337"/>
    </row>
    <row r="958" spans="7:7" x14ac:dyDescent="0.25">
      <c r="G958" s="337"/>
    </row>
    <row r="959" spans="7:7" x14ac:dyDescent="0.25">
      <c r="G959" s="337"/>
    </row>
    <row r="960" spans="7:7" x14ac:dyDescent="0.25">
      <c r="G960" s="337"/>
    </row>
    <row r="961" spans="7:7" x14ac:dyDescent="0.25">
      <c r="G961" s="337"/>
    </row>
    <row r="962" spans="7:7" x14ac:dyDescent="0.25">
      <c r="G962" s="337"/>
    </row>
    <row r="963" spans="7:7" x14ac:dyDescent="0.25">
      <c r="G963" s="337"/>
    </row>
    <row r="964" spans="7:7" x14ac:dyDescent="0.25">
      <c r="G964" s="337"/>
    </row>
    <row r="965" spans="7:7" x14ac:dyDescent="0.25">
      <c r="G965" s="337"/>
    </row>
    <row r="966" spans="7:7" x14ac:dyDescent="0.25">
      <c r="G966" s="337"/>
    </row>
    <row r="967" spans="7:7" x14ac:dyDescent="0.25">
      <c r="G967" s="337"/>
    </row>
    <row r="968" spans="7:7" x14ac:dyDescent="0.25">
      <c r="G968" s="337"/>
    </row>
    <row r="969" spans="7:7" x14ac:dyDescent="0.25">
      <c r="G969" s="337"/>
    </row>
    <row r="970" spans="7:7" x14ac:dyDescent="0.25">
      <c r="G970" s="337"/>
    </row>
    <row r="971" spans="7:7" x14ac:dyDescent="0.25">
      <c r="G971" s="337"/>
    </row>
    <row r="972" spans="7:7" x14ac:dyDescent="0.25">
      <c r="G972" s="337"/>
    </row>
    <row r="973" spans="7:7" x14ac:dyDescent="0.25">
      <c r="G973" s="337"/>
    </row>
    <row r="974" spans="7:7" x14ac:dyDescent="0.25">
      <c r="G974" s="337"/>
    </row>
    <row r="975" spans="7:7" x14ac:dyDescent="0.25">
      <c r="G975" s="337"/>
    </row>
    <row r="976" spans="7:7" x14ac:dyDescent="0.25">
      <c r="G976" s="337"/>
    </row>
    <row r="977" spans="7:7" x14ac:dyDescent="0.25">
      <c r="G977" s="337"/>
    </row>
    <row r="978" spans="7:7" x14ac:dyDescent="0.25">
      <c r="G978" s="337"/>
    </row>
    <row r="979" spans="7:7" x14ac:dyDescent="0.25">
      <c r="G979" s="337"/>
    </row>
    <row r="980" spans="7:7" x14ac:dyDescent="0.25">
      <c r="G980" s="337"/>
    </row>
    <row r="981" spans="7:7" x14ac:dyDescent="0.25">
      <c r="G981" s="337"/>
    </row>
    <row r="982" spans="7:7" x14ac:dyDescent="0.25">
      <c r="G982" s="337"/>
    </row>
    <row r="983" spans="7:7" x14ac:dyDescent="0.25">
      <c r="G983" s="337"/>
    </row>
    <row r="984" spans="7:7" x14ac:dyDescent="0.25">
      <c r="G984" s="337"/>
    </row>
    <row r="985" spans="7:7" x14ac:dyDescent="0.25">
      <c r="G985" s="337"/>
    </row>
    <row r="986" spans="7:7" x14ac:dyDescent="0.25">
      <c r="G986" s="337"/>
    </row>
    <row r="987" spans="7:7" x14ac:dyDescent="0.25">
      <c r="G987" s="337"/>
    </row>
    <row r="988" spans="7:7" x14ac:dyDescent="0.25">
      <c r="G988" s="337"/>
    </row>
    <row r="989" spans="7:7" x14ac:dyDescent="0.25">
      <c r="G989" s="337"/>
    </row>
    <row r="990" spans="7:7" x14ac:dyDescent="0.25">
      <c r="G990" s="337"/>
    </row>
    <row r="991" spans="7:7" x14ac:dyDescent="0.25">
      <c r="G991" s="337"/>
    </row>
    <row r="992" spans="7:7" x14ac:dyDescent="0.25">
      <c r="G992" s="337"/>
    </row>
    <row r="993" spans="7:7" x14ac:dyDescent="0.25">
      <c r="G993" s="337"/>
    </row>
    <row r="994" spans="7:7" x14ac:dyDescent="0.25">
      <c r="G994" s="337"/>
    </row>
    <row r="995" spans="7:7" x14ac:dyDescent="0.25">
      <c r="G995" s="337"/>
    </row>
    <row r="996" spans="7:7" x14ac:dyDescent="0.25">
      <c r="G996" s="337"/>
    </row>
    <row r="997" spans="7:7" x14ac:dyDescent="0.25">
      <c r="G997" s="337"/>
    </row>
    <row r="998" spans="7:7" x14ac:dyDescent="0.25">
      <c r="G998" s="337"/>
    </row>
    <row r="999" spans="7:7" x14ac:dyDescent="0.25">
      <c r="G999" s="337"/>
    </row>
    <row r="1000" spans="7:7" x14ac:dyDescent="0.25">
      <c r="G1000" s="337"/>
    </row>
  </sheetData>
  <mergeCells count="1">
    <mergeCell ref="A1:H1"/>
  </mergeCells>
  <conditionalFormatting sqref="D1 D3 D6:D7 D9:D15 D17:D21">
    <cfRule type="containsText" dxfId="47" priority="1" operator="containsText" text="In process">
      <formula>NOT(ISERROR(SEARCH(("In process"),(D1))))</formula>
    </cfRule>
    <cfRule type="containsText" dxfId="46" priority="2" operator="containsText" text="Done">
      <formula>NOT(ISERROR(SEARCH(("Done"),(D1))))</formula>
    </cfRule>
  </conditionalFormatting>
  <conditionalFormatting sqref="D9:D15 D17:D21">
    <cfRule type="containsText" dxfId="45" priority="3" operator="containsText" text="In progress">
      <formula>NOT(ISERROR(SEARCH(("In progress"),(D9))))</formula>
    </cfRule>
  </conditionalFormatting>
  <conditionalFormatting sqref="D23:D27">
    <cfRule type="containsText" dxfId="44" priority="4" operator="containsText" text="In progress">
      <formula>NOT(ISERROR(SEARCH(("In progress"),(D23))))</formula>
    </cfRule>
    <cfRule type="containsText" dxfId="43" priority="5" operator="containsText" text="In process">
      <formula>NOT(ISERROR(SEARCH(("In process"),(D23))))</formula>
    </cfRule>
    <cfRule type="containsText" dxfId="42" priority="6" operator="containsText" text="Done">
      <formula>NOT(ISERROR(SEARCH(("Done"),(D23))))</formula>
    </cfRule>
  </conditionalFormatting>
  <conditionalFormatting sqref="D29:D32">
    <cfRule type="containsText" dxfId="41" priority="7" operator="containsText" text="In progress">
      <formula>NOT(ISERROR(SEARCH(("In progress"),(D29))))</formula>
    </cfRule>
    <cfRule type="containsText" dxfId="40" priority="8" operator="containsText" text="In process">
      <formula>NOT(ISERROR(SEARCH(("In process"),(D29))))</formula>
    </cfRule>
    <cfRule type="containsText" dxfId="39" priority="9" operator="containsText" text="Done">
      <formula>NOT(ISERROR(SEARCH(("Done"),(D29))))</formula>
    </cfRule>
  </conditionalFormatting>
  <conditionalFormatting sqref="D34:D37">
    <cfRule type="containsText" dxfId="38" priority="10" operator="containsText" text="In progress">
      <formula>NOT(ISERROR(SEARCH(("In progress"),(D34))))</formula>
    </cfRule>
  </conditionalFormatting>
  <conditionalFormatting sqref="D34:D1000">
    <cfRule type="containsText" dxfId="37" priority="11" operator="containsText" text="In process">
      <formula>NOT(ISERROR(SEARCH(("In process"),(D34))))</formula>
    </cfRule>
    <cfRule type="containsText" dxfId="36" priority="12" operator="containsText" text="Done">
      <formula>NOT(ISERROR(SEARCH(("Done"),(D34))))</formula>
    </cfRule>
  </conditionalFormatting>
  <conditionalFormatting sqref="AO1:AO3">
    <cfRule type="containsText" dxfId="35" priority="13" operator="containsText" text="In progress">
      <formula>NOT(ISERROR(SEARCH(("In progress"),(AO1))))</formula>
    </cfRule>
    <cfRule type="containsText" dxfId="34" priority="14" operator="containsText" text="In process">
      <formula>NOT(ISERROR(SEARCH(("In process"),(AO1))))</formula>
    </cfRule>
    <cfRule type="containsText" dxfId="33" priority="15" operator="containsText" text="Done">
      <formula>NOT(ISERROR(SEARCH(("Done"),(AO1))))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topLeftCell="A13" workbookViewId="0">
      <selection activeCell="I31" sqref="I31"/>
    </sheetView>
  </sheetViews>
  <sheetFormatPr defaultColWidth="12.625" defaultRowHeight="16.5" x14ac:dyDescent="0.25"/>
  <cols>
    <col min="1" max="1" width="8" style="2" customWidth="1"/>
    <col min="2" max="2" width="34" style="2" customWidth="1"/>
    <col min="3" max="3" width="45.625" style="2" bestFit="1" customWidth="1"/>
    <col min="4" max="4" width="11.25" style="2" bestFit="1" customWidth="1"/>
    <col min="5" max="5" width="12.125" style="2" bestFit="1" customWidth="1"/>
    <col min="6" max="6" width="14.25" style="2" bestFit="1" customWidth="1"/>
    <col min="7" max="7" width="11.375" style="2" bestFit="1" customWidth="1"/>
    <col min="8" max="8" width="8.875" style="2" bestFit="1" customWidth="1"/>
    <col min="9" max="9" width="10.375" style="2" customWidth="1"/>
    <col min="10" max="10" width="14.875" style="2" bestFit="1" customWidth="1"/>
    <col min="11" max="11" width="10.625" style="2" bestFit="1" customWidth="1"/>
    <col min="12" max="26" width="8.625" style="2" customWidth="1"/>
    <col min="27" max="16384" width="12.625" style="2"/>
  </cols>
  <sheetData>
    <row r="1" spans="1:11" ht="20.25" x14ac:dyDescent="0.3">
      <c r="A1" s="348" t="s">
        <v>138</v>
      </c>
      <c r="B1" s="349"/>
      <c r="C1" s="349"/>
      <c r="D1" s="349"/>
      <c r="E1" s="349"/>
      <c r="F1" s="353"/>
      <c r="G1" s="353"/>
      <c r="H1" s="353"/>
      <c r="I1" s="197"/>
      <c r="J1" s="197"/>
      <c r="K1" s="197"/>
    </row>
    <row r="2" spans="1:11" x14ac:dyDescent="0.25">
      <c r="A2" s="102" t="s">
        <v>139</v>
      </c>
      <c r="B2" s="50" t="s">
        <v>75</v>
      </c>
      <c r="C2" s="102"/>
      <c r="D2" s="102"/>
      <c r="E2" s="102"/>
      <c r="F2" s="197" t="s">
        <v>140</v>
      </c>
      <c r="G2" s="233">
        <v>46211</v>
      </c>
      <c r="H2" s="197"/>
      <c r="I2" s="197"/>
      <c r="J2" s="195" t="s">
        <v>141</v>
      </c>
      <c r="K2" s="195" t="s">
        <v>142</v>
      </c>
    </row>
    <row r="3" spans="1:11" ht="33" x14ac:dyDescent="0.25">
      <c r="A3" s="102" t="s">
        <v>143</v>
      </c>
      <c r="B3" s="102" t="s">
        <v>144</v>
      </c>
      <c r="C3" s="102"/>
      <c r="D3" s="102"/>
      <c r="E3" s="102"/>
      <c r="F3" s="103" t="s">
        <v>145</v>
      </c>
      <c r="G3" s="233">
        <v>46220</v>
      </c>
      <c r="H3" s="197"/>
      <c r="I3" s="197"/>
      <c r="J3" s="197" t="s">
        <v>146</v>
      </c>
      <c r="K3" s="197">
        <f>SUM(E7:E10)</f>
        <v>5.5</v>
      </c>
    </row>
    <row r="4" spans="1:11" ht="33" x14ac:dyDescent="0.25">
      <c r="A4" s="102" t="s">
        <v>147</v>
      </c>
      <c r="B4" s="103" t="s">
        <v>148</v>
      </c>
      <c r="C4" s="102"/>
      <c r="D4" s="102"/>
      <c r="E4" s="102"/>
      <c r="F4" s="103" t="s">
        <v>149</v>
      </c>
      <c r="G4" s="197">
        <v>40</v>
      </c>
      <c r="H4" s="197" t="s">
        <v>150</v>
      </c>
      <c r="I4" s="197"/>
      <c r="J4" s="197" t="s">
        <v>151</v>
      </c>
      <c r="K4" s="197">
        <f>SUM(E12:E14)</f>
        <v>6</v>
      </c>
    </row>
    <row r="5" spans="1:11" ht="33" x14ac:dyDescent="0.25">
      <c r="A5" s="194" t="s">
        <v>152</v>
      </c>
      <c r="B5" s="194" t="s">
        <v>153</v>
      </c>
      <c r="C5" s="194" t="s">
        <v>154</v>
      </c>
      <c r="D5" s="194" t="s">
        <v>155</v>
      </c>
      <c r="E5" s="194" t="s">
        <v>142</v>
      </c>
      <c r="F5" s="194" t="s">
        <v>156</v>
      </c>
      <c r="G5" s="196" t="s">
        <v>157</v>
      </c>
      <c r="H5" s="196" t="s">
        <v>158</v>
      </c>
      <c r="I5" s="197"/>
      <c r="J5" s="197" t="s">
        <v>159</v>
      </c>
      <c r="K5" s="197">
        <f>SUM(E16:E22)</f>
        <v>17</v>
      </c>
    </row>
    <row r="6" spans="1:11" ht="33" x14ac:dyDescent="0.25">
      <c r="A6" s="198" t="s">
        <v>160</v>
      </c>
      <c r="B6" s="198" t="s">
        <v>161</v>
      </c>
      <c r="C6" s="198"/>
      <c r="D6" s="198"/>
      <c r="E6" s="198"/>
      <c r="F6" s="198"/>
      <c r="G6" s="235"/>
      <c r="H6" s="236"/>
      <c r="I6" s="197"/>
      <c r="J6" s="197" t="s">
        <v>162</v>
      </c>
      <c r="K6" s="197">
        <f>SUM(E24:E27)</f>
        <v>10</v>
      </c>
    </row>
    <row r="7" spans="1:11" x14ac:dyDescent="0.25">
      <c r="A7" s="199">
        <v>1</v>
      </c>
      <c r="B7" s="199" t="s">
        <v>163</v>
      </c>
      <c r="C7" s="199" t="s">
        <v>164</v>
      </c>
      <c r="D7" s="199">
        <v>1</v>
      </c>
      <c r="E7" s="199">
        <v>1</v>
      </c>
      <c r="F7" s="221">
        <v>750000</v>
      </c>
      <c r="G7" s="222">
        <f>E7*F7</f>
        <v>750000</v>
      </c>
      <c r="H7" s="237">
        <f>E7/$E$28</f>
        <v>2.5974025974025976E-2</v>
      </c>
      <c r="I7" s="197"/>
      <c r="J7" s="197"/>
      <c r="K7" s="197"/>
    </row>
    <row r="8" spans="1:11" x14ac:dyDescent="0.25">
      <c r="A8" s="200">
        <v>2</v>
      </c>
      <c r="B8" s="2" t="s">
        <v>102</v>
      </c>
      <c r="C8" s="2" t="s">
        <v>165</v>
      </c>
      <c r="D8" s="2">
        <v>2</v>
      </c>
      <c r="E8" s="2">
        <v>2</v>
      </c>
      <c r="F8" s="221">
        <v>750000</v>
      </c>
      <c r="G8" s="222">
        <f>E8*F8</f>
        <v>1500000</v>
      </c>
      <c r="H8" s="237">
        <f>E8/$E$28</f>
        <v>5.1948051948051951E-2</v>
      </c>
      <c r="I8" s="197"/>
      <c r="J8" s="197"/>
      <c r="K8" s="197"/>
    </row>
    <row r="9" spans="1:11" x14ac:dyDescent="0.25">
      <c r="A9" s="199">
        <v>3</v>
      </c>
      <c r="B9" s="199" t="s">
        <v>166</v>
      </c>
      <c r="C9" s="199" t="s">
        <v>167</v>
      </c>
      <c r="D9" s="199">
        <v>2</v>
      </c>
      <c r="E9" s="199">
        <v>1.5</v>
      </c>
      <c r="F9" s="221">
        <v>750000</v>
      </c>
      <c r="G9" s="222">
        <f>E9*F9</f>
        <v>1125000</v>
      </c>
      <c r="H9" s="237">
        <f>E9/$E$28</f>
        <v>3.896103896103896E-2</v>
      </c>
      <c r="I9" s="197"/>
      <c r="J9" s="197"/>
      <c r="K9" s="197"/>
    </row>
    <row r="10" spans="1:11" x14ac:dyDescent="0.25">
      <c r="A10" s="201">
        <v>4</v>
      </c>
      <c r="B10" s="201" t="s">
        <v>168</v>
      </c>
      <c r="C10" s="201" t="s">
        <v>169</v>
      </c>
      <c r="D10" s="201">
        <v>2</v>
      </c>
      <c r="E10" s="201">
        <v>1</v>
      </c>
      <c r="F10" s="223">
        <v>750000</v>
      </c>
      <c r="G10" s="222">
        <f>E10*F10</f>
        <v>750000</v>
      </c>
      <c r="H10" s="237">
        <f>E10/$E$28</f>
        <v>2.5974025974025976E-2</v>
      </c>
      <c r="I10" s="197"/>
      <c r="J10" s="197"/>
      <c r="K10" s="197"/>
    </row>
    <row r="11" spans="1:11" x14ac:dyDescent="0.25">
      <c r="A11" s="198" t="s">
        <v>170</v>
      </c>
      <c r="B11" s="198" t="s">
        <v>171</v>
      </c>
      <c r="C11" s="202"/>
      <c r="D11" s="198"/>
      <c r="E11" s="198"/>
      <c r="F11" s="224"/>
      <c r="G11" s="225"/>
      <c r="H11" s="238"/>
      <c r="I11" s="197"/>
      <c r="J11" s="197"/>
      <c r="K11" s="197"/>
    </row>
    <row r="12" spans="1:11" ht="33" x14ac:dyDescent="0.25">
      <c r="A12" s="104">
        <v>5</v>
      </c>
      <c r="B12" s="104" t="s">
        <v>172</v>
      </c>
      <c r="C12" s="104" t="s">
        <v>173</v>
      </c>
      <c r="D12" s="104">
        <v>2</v>
      </c>
      <c r="E12" s="104">
        <v>2</v>
      </c>
      <c r="F12" s="226">
        <v>750000</v>
      </c>
      <c r="G12" s="222">
        <f>E12*F12</f>
        <v>1500000</v>
      </c>
      <c r="H12" s="237">
        <f>E12/$E$28</f>
        <v>5.1948051948051951E-2</v>
      </c>
      <c r="I12" s="197"/>
      <c r="J12" s="197"/>
      <c r="K12" s="197"/>
    </row>
    <row r="13" spans="1:11" x14ac:dyDescent="0.25">
      <c r="A13" s="199">
        <v>6</v>
      </c>
      <c r="B13" s="203" t="s">
        <v>174</v>
      </c>
      <c r="C13" s="204" t="s">
        <v>175</v>
      </c>
      <c r="D13" s="203">
        <v>2</v>
      </c>
      <c r="E13" s="203">
        <v>2</v>
      </c>
      <c r="F13" s="227">
        <v>750000</v>
      </c>
      <c r="G13" s="222">
        <f>E13*F13</f>
        <v>1500000</v>
      </c>
      <c r="H13" s="237">
        <f>E13/$E$28</f>
        <v>5.1948051948051951E-2</v>
      </c>
      <c r="I13" s="197"/>
      <c r="J13" s="197"/>
      <c r="K13" s="197"/>
    </row>
    <row r="14" spans="1:11" ht="33" x14ac:dyDescent="0.25">
      <c r="A14" s="199">
        <v>7</v>
      </c>
      <c r="B14" s="205" t="s">
        <v>176</v>
      </c>
      <c r="C14" s="206" t="s">
        <v>177</v>
      </c>
      <c r="D14" s="205">
        <v>1</v>
      </c>
      <c r="E14" s="203">
        <v>2</v>
      </c>
      <c r="F14" s="227">
        <v>750000</v>
      </c>
      <c r="G14" s="222">
        <f>E14*F14</f>
        <v>1500000</v>
      </c>
      <c r="H14" s="237">
        <f>E14/$E$28</f>
        <v>5.1948051948051951E-2</v>
      </c>
      <c r="I14" s="197"/>
      <c r="J14" s="197"/>
      <c r="K14" s="197"/>
    </row>
    <row r="15" spans="1:11" x14ac:dyDescent="0.25">
      <c r="A15" s="198" t="s">
        <v>178</v>
      </c>
      <c r="B15" s="198" t="s">
        <v>179</v>
      </c>
      <c r="C15" s="207"/>
      <c r="D15" s="198"/>
      <c r="E15" s="198"/>
      <c r="F15" s="224"/>
      <c r="G15" s="225"/>
      <c r="H15" s="238"/>
      <c r="I15" s="197"/>
      <c r="J15" s="197"/>
      <c r="K15" s="197"/>
    </row>
    <row r="16" spans="1:11" x14ac:dyDescent="0.25">
      <c r="A16" s="199">
        <v>8</v>
      </c>
      <c r="B16" s="203" t="s">
        <v>180</v>
      </c>
      <c r="C16" s="206" t="s">
        <v>181</v>
      </c>
      <c r="D16" s="205">
        <v>1</v>
      </c>
      <c r="E16" s="203">
        <v>2</v>
      </c>
      <c r="F16" s="227">
        <v>750000</v>
      </c>
      <c r="G16" s="222">
        <f t="shared" ref="G16:G22" si="0">E16*F16</f>
        <v>1500000</v>
      </c>
      <c r="H16" s="237">
        <f t="shared" ref="H16:H22" si="1">E16/$E$28</f>
        <v>5.1948051948051951E-2</v>
      </c>
      <c r="I16" s="197"/>
      <c r="J16" s="197"/>
      <c r="K16" s="197"/>
    </row>
    <row r="17" spans="1:11" x14ac:dyDescent="0.25">
      <c r="A17" s="208">
        <v>9</v>
      </c>
      <c r="B17" s="208" t="s">
        <v>182</v>
      </c>
      <c r="C17" s="208" t="s">
        <v>183</v>
      </c>
      <c r="D17" s="208">
        <v>1</v>
      </c>
      <c r="E17" s="208">
        <v>1.5</v>
      </c>
      <c r="F17" s="228">
        <v>750000</v>
      </c>
      <c r="G17" s="222">
        <f t="shared" si="0"/>
        <v>1125000</v>
      </c>
      <c r="H17" s="237">
        <f t="shared" si="1"/>
        <v>3.896103896103896E-2</v>
      </c>
      <c r="I17" s="197"/>
      <c r="J17" s="197"/>
      <c r="K17" s="197"/>
    </row>
    <row r="18" spans="1:11" x14ac:dyDescent="0.25">
      <c r="A18" s="209">
        <v>10</v>
      </c>
      <c r="B18" s="209" t="s">
        <v>184</v>
      </c>
      <c r="C18" s="210" t="s">
        <v>185</v>
      </c>
      <c r="D18" s="210">
        <v>2</v>
      </c>
      <c r="E18" s="210">
        <v>2.5</v>
      </c>
      <c r="F18" s="229">
        <v>750000</v>
      </c>
      <c r="G18" s="222">
        <f t="shared" si="0"/>
        <v>1875000</v>
      </c>
      <c r="H18" s="237">
        <f t="shared" si="1"/>
        <v>6.4935064935064929E-2</v>
      </c>
      <c r="I18" s="197"/>
      <c r="J18" s="197"/>
      <c r="K18" s="197"/>
    </row>
    <row r="19" spans="1:11" x14ac:dyDescent="0.25">
      <c r="A19" s="211">
        <v>11</v>
      </c>
      <c r="B19" s="211" t="s">
        <v>186</v>
      </c>
      <c r="C19" s="211" t="s">
        <v>187</v>
      </c>
      <c r="D19" s="211">
        <v>2</v>
      </c>
      <c r="E19" s="211">
        <v>2</v>
      </c>
      <c r="F19" s="230">
        <v>750000</v>
      </c>
      <c r="G19" s="222">
        <f t="shared" si="0"/>
        <v>1500000</v>
      </c>
      <c r="H19" s="237">
        <f t="shared" si="1"/>
        <v>5.1948051948051951E-2</v>
      </c>
      <c r="I19" s="197"/>
      <c r="J19" s="197"/>
      <c r="K19" s="197"/>
    </row>
    <row r="20" spans="1:11" x14ac:dyDescent="0.25">
      <c r="A20" s="104">
        <v>12</v>
      </c>
      <c r="B20" s="104" t="s">
        <v>188</v>
      </c>
      <c r="C20" s="104" t="s">
        <v>189</v>
      </c>
      <c r="D20" s="104">
        <v>2</v>
      </c>
      <c r="E20" s="104">
        <v>3</v>
      </c>
      <c r="F20" s="226">
        <v>750000</v>
      </c>
      <c r="G20" s="222">
        <f t="shared" si="0"/>
        <v>2250000</v>
      </c>
      <c r="H20" s="237">
        <f t="shared" si="1"/>
        <v>7.792207792207792E-2</v>
      </c>
      <c r="I20" s="197"/>
      <c r="J20" s="197"/>
      <c r="K20" s="197"/>
    </row>
    <row r="21" spans="1:11" x14ac:dyDescent="0.25">
      <c r="A21" s="211">
        <v>13</v>
      </c>
      <c r="B21" s="211" t="s">
        <v>190</v>
      </c>
      <c r="C21" s="211" t="s">
        <v>191</v>
      </c>
      <c r="D21" s="211">
        <v>2</v>
      </c>
      <c r="E21" s="211">
        <v>3</v>
      </c>
      <c r="F21" s="230">
        <v>750000</v>
      </c>
      <c r="G21" s="222">
        <f t="shared" si="0"/>
        <v>2250000</v>
      </c>
      <c r="H21" s="237">
        <f t="shared" si="1"/>
        <v>7.792207792207792E-2</v>
      </c>
      <c r="I21" s="197"/>
      <c r="J21" s="197"/>
      <c r="K21" s="197"/>
    </row>
    <row r="22" spans="1:11" ht="33" x14ac:dyDescent="0.25">
      <c r="A22" s="211">
        <v>14</v>
      </c>
      <c r="B22" s="211" t="s">
        <v>416</v>
      </c>
      <c r="C22" s="211" t="s">
        <v>192</v>
      </c>
      <c r="D22" s="211">
        <v>2</v>
      </c>
      <c r="E22" s="211">
        <v>3</v>
      </c>
      <c r="F22" s="230">
        <v>750000</v>
      </c>
      <c r="G22" s="222">
        <f t="shared" si="0"/>
        <v>2250000</v>
      </c>
      <c r="H22" s="237">
        <f t="shared" si="1"/>
        <v>7.792207792207792E-2</v>
      </c>
      <c r="I22" s="197"/>
      <c r="J22" s="197"/>
      <c r="K22" s="197"/>
    </row>
    <row r="23" spans="1:11" ht="33" x14ac:dyDescent="0.25">
      <c r="A23" s="198" t="s">
        <v>193</v>
      </c>
      <c r="B23" s="198" t="s">
        <v>194</v>
      </c>
      <c r="C23" s="198"/>
      <c r="D23" s="198"/>
      <c r="E23" s="198"/>
      <c r="F23" s="224"/>
      <c r="G23" s="225"/>
      <c r="H23" s="238"/>
      <c r="I23" s="197"/>
      <c r="J23" s="197"/>
      <c r="K23" s="197"/>
    </row>
    <row r="24" spans="1:11" x14ac:dyDescent="0.25">
      <c r="A24" s="104">
        <v>15</v>
      </c>
      <c r="B24" s="104" t="s">
        <v>195</v>
      </c>
      <c r="C24" s="104" t="s">
        <v>196</v>
      </c>
      <c r="D24" s="104">
        <v>6</v>
      </c>
      <c r="E24" s="104">
        <v>4</v>
      </c>
      <c r="F24" s="226">
        <v>750000</v>
      </c>
      <c r="G24" s="222">
        <f>E24*F24</f>
        <v>3000000</v>
      </c>
      <c r="H24" s="237">
        <f>E24/$E$28</f>
        <v>0.1038961038961039</v>
      </c>
      <c r="I24" s="197"/>
      <c r="J24" s="197"/>
      <c r="K24" s="197"/>
    </row>
    <row r="25" spans="1:11" x14ac:dyDescent="0.25">
      <c r="A25" s="211">
        <v>16</v>
      </c>
      <c r="B25" s="211" t="s">
        <v>197</v>
      </c>
      <c r="C25" s="211" t="s">
        <v>198</v>
      </c>
      <c r="D25" s="211">
        <v>2</v>
      </c>
      <c r="E25" s="211">
        <v>2</v>
      </c>
      <c r="F25" s="230">
        <v>750000</v>
      </c>
      <c r="G25" s="222">
        <f>E25*F25</f>
        <v>1500000</v>
      </c>
      <c r="H25" s="237">
        <f>E25/$E$28</f>
        <v>5.1948051948051951E-2</v>
      </c>
      <c r="I25" s="197"/>
      <c r="J25" s="197"/>
      <c r="K25" s="197"/>
    </row>
    <row r="26" spans="1:11" x14ac:dyDescent="0.25">
      <c r="A26" s="212">
        <v>17</v>
      </c>
      <c r="B26" s="212" t="s">
        <v>199</v>
      </c>
      <c r="C26" s="212" t="s">
        <v>200</v>
      </c>
      <c r="D26" s="212">
        <v>1</v>
      </c>
      <c r="E26" s="212">
        <v>1</v>
      </c>
      <c r="F26" s="231">
        <v>750000</v>
      </c>
      <c r="G26" s="222">
        <f>E26*F26</f>
        <v>750000</v>
      </c>
      <c r="H26" s="237">
        <f>E26/$E$28</f>
        <v>2.5974025974025976E-2</v>
      </c>
      <c r="I26" s="197"/>
      <c r="J26" s="197"/>
      <c r="K26" s="197"/>
    </row>
    <row r="27" spans="1:11" x14ac:dyDescent="0.25">
      <c r="A27" s="239">
        <v>18</v>
      </c>
      <c r="B27" s="213" t="s">
        <v>201</v>
      </c>
      <c r="C27" s="213" t="s">
        <v>202</v>
      </c>
      <c r="D27" s="213">
        <v>2</v>
      </c>
      <c r="E27" s="214">
        <v>3</v>
      </c>
      <c r="F27" s="232">
        <v>750000</v>
      </c>
      <c r="G27" s="222">
        <f>E27*F27</f>
        <v>2250000</v>
      </c>
      <c r="H27" s="237">
        <f>E27/$E$28</f>
        <v>7.792207792207792E-2</v>
      </c>
      <c r="I27" s="197"/>
      <c r="J27" s="197"/>
      <c r="K27" s="197"/>
    </row>
    <row r="28" spans="1:11" x14ac:dyDescent="0.25">
      <c r="A28" s="355" t="s">
        <v>203</v>
      </c>
      <c r="B28" s="356"/>
      <c r="C28" s="356"/>
      <c r="D28" s="356"/>
      <c r="E28" s="240">
        <f>SUM(E7:E27)</f>
        <v>38.5</v>
      </c>
      <c r="F28" s="241"/>
      <c r="G28" s="242">
        <f>SUM(G7:G27)</f>
        <v>28875000</v>
      </c>
      <c r="H28" s="243">
        <f>SUM(H7:H27)</f>
        <v>1.0000000000000002</v>
      </c>
      <c r="I28" s="197"/>
      <c r="J28" s="197"/>
      <c r="K28" s="197"/>
    </row>
    <row r="29" spans="1:11" x14ac:dyDescent="0.25">
      <c r="A29" s="213"/>
      <c r="B29" s="213"/>
      <c r="C29" s="213"/>
      <c r="D29" s="213"/>
      <c r="E29" s="214"/>
      <c r="F29" s="213"/>
      <c r="G29" s="197"/>
      <c r="H29" s="197"/>
      <c r="I29" s="197"/>
      <c r="J29" s="197"/>
      <c r="K29" s="197"/>
    </row>
    <row r="30" spans="1:11" ht="33" x14ac:dyDescent="0.25">
      <c r="A30" s="215" t="s">
        <v>204</v>
      </c>
      <c r="B30" s="215"/>
      <c r="C30" s="215"/>
      <c r="D30" s="215"/>
      <c r="E30" s="216"/>
      <c r="F30" s="215"/>
      <c r="G30" s="217"/>
      <c r="H30" s="217"/>
      <c r="I30" s="197"/>
      <c r="J30" s="197"/>
      <c r="K30" s="197"/>
    </row>
    <row r="31" spans="1:11" ht="49.5" x14ac:dyDescent="0.25">
      <c r="A31" s="213" t="s">
        <v>205</v>
      </c>
      <c r="B31" s="213" t="s">
        <v>206</v>
      </c>
      <c r="C31" s="213"/>
      <c r="D31" s="213"/>
      <c r="E31" s="218">
        <v>40</v>
      </c>
      <c r="F31" s="213"/>
      <c r="G31" s="197"/>
      <c r="H31" s="197"/>
      <c r="I31" s="197"/>
      <c r="J31" s="197"/>
      <c r="K31" s="197"/>
    </row>
    <row r="32" spans="1:11" ht="66" x14ac:dyDescent="0.25">
      <c r="A32" s="219" t="s">
        <v>207</v>
      </c>
      <c r="B32" s="219" t="s">
        <v>208</v>
      </c>
      <c r="C32" s="210"/>
      <c r="D32" s="210"/>
      <c r="E32" s="234">
        <f>E28/E31</f>
        <v>0.96250000000000002</v>
      </c>
      <c r="F32" s="220"/>
      <c r="G32" s="197"/>
      <c r="H32" s="197"/>
      <c r="I32" s="197"/>
      <c r="J32" s="197"/>
      <c r="K32" s="197"/>
    </row>
    <row r="33" spans="1:11" ht="49.5" x14ac:dyDescent="0.25">
      <c r="A33" s="213" t="s">
        <v>86</v>
      </c>
      <c r="B33" s="213" t="s">
        <v>209</v>
      </c>
      <c r="C33" s="213"/>
      <c r="D33" s="213"/>
      <c r="E33" s="213"/>
      <c r="F33" s="213"/>
      <c r="G33" s="197"/>
      <c r="H33" s="197"/>
      <c r="I33" s="197"/>
      <c r="J33" s="197"/>
      <c r="K33" s="197"/>
    </row>
    <row r="34" spans="1:11" x14ac:dyDescent="0.25">
      <c r="A34" s="213"/>
      <c r="B34" s="213"/>
      <c r="C34" s="213"/>
      <c r="D34" s="213"/>
      <c r="E34" s="213"/>
      <c r="F34" s="213"/>
    </row>
    <row r="35" spans="1:11" x14ac:dyDescent="0.25">
      <c r="A35" s="213"/>
      <c r="B35" s="213"/>
      <c r="C35" s="213"/>
      <c r="D35" s="213"/>
      <c r="E35" s="213"/>
      <c r="F35" s="213"/>
    </row>
    <row r="36" spans="1:11" x14ac:dyDescent="0.25">
      <c r="A36" s="213"/>
      <c r="B36" s="213"/>
      <c r="C36" s="213"/>
      <c r="D36" s="213"/>
      <c r="E36" s="213"/>
      <c r="F36" s="213"/>
    </row>
    <row r="37" spans="1:11" x14ac:dyDescent="0.25">
      <c r="A37" s="213"/>
      <c r="B37" s="213"/>
      <c r="C37" s="213"/>
      <c r="D37" s="213"/>
      <c r="E37" s="213"/>
      <c r="F37" s="213"/>
    </row>
    <row r="38" spans="1:11" x14ac:dyDescent="0.25">
      <c r="A38" s="213"/>
      <c r="B38" s="213"/>
      <c r="C38" s="213"/>
      <c r="D38" s="213"/>
      <c r="E38" s="213"/>
      <c r="F38" s="213"/>
    </row>
    <row r="39" spans="1:11" x14ac:dyDescent="0.25">
      <c r="A39" s="213"/>
      <c r="B39" s="213"/>
      <c r="C39" s="213"/>
      <c r="D39" s="213"/>
      <c r="E39" s="213"/>
      <c r="F39" s="213"/>
    </row>
    <row r="40" spans="1:11" x14ac:dyDescent="0.25">
      <c r="A40" s="213"/>
      <c r="B40" s="213"/>
      <c r="C40" s="213"/>
      <c r="D40" s="213"/>
      <c r="E40" s="218"/>
      <c r="F40" s="338"/>
    </row>
    <row r="41" spans="1:11" x14ac:dyDescent="0.25">
      <c r="A41" s="213"/>
      <c r="B41" s="213"/>
      <c r="C41" s="213"/>
      <c r="D41" s="213"/>
      <c r="E41" s="218"/>
      <c r="F41" s="338"/>
    </row>
    <row r="42" spans="1:11" x14ac:dyDescent="0.25">
      <c r="A42" s="213"/>
      <c r="B42" s="213"/>
      <c r="C42" s="213"/>
      <c r="D42" s="213"/>
      <c r="E42" s="218"/>
      <c r="F42" s="338"/>
    </row>
    <row r="43" spans="1:11" x14ac:dyDescent="0.25">
      <c r="A43" s="339"/>
      <c r="B43" s="213"/>
      <c r="C43" s="213"/>
      <c r="D43" s="213"/>
      <c r="E43" s="218"/>
      <c r="F43" s="338"/>
    </row>
    <row r="44" spans="1:11" x14ac:dyDescent="0.25">
      <c r="A44" s="339"/>
      <c r="B44" s="213"/>
      <c r="C44" s="213"/>
      <c r="D44" s="213"/>
      <c r="E44" s="218"/>
      <c r="F44" s="338"/>
    </row>
    <row r="45" spans="1:11" x14ac:dyDescent="0.25">
      <c r="A45" s="339"/>
      <c r="B45" s="213"/>
      <c r="C45" s="213"/>
      <c r="D45" s="213"/>
      <c r="E45" s="218"/>
      <c r="F45" s="338"/>
    </row>
    <row r="46" spans="1:11" x14ac:dyDescent="0.25">
      <c r="A46" s="339"/>
      <c r="B46" s="213"/>
      <c r="C46" s="213"/>
      <c r="D46" s="213"/>
      <c r="E46" s="218"/>
      <c r="F46" s="338"/>
    </row>
    <row r="47" spans="1:11" x14ac:dyDescent="0.25">
      <c r="A47" s="339"/>
      <c r="B47" s="213"/>
      <c r="C47" s="213"/>
      <c r="D47" s="213"/>
      <c r="E47" s="218"/>
      <c r="F47" s="338"/>
    </row>
    <row r="48" spans="1:11" x14ac:dyDescent="0.25">
      <c r="A48" s="340"/>
      <c r="B48" s="340"/>
      <c r="C48" s="210"/>
      <c r="D48" s="210"/>
      <c r="E48" s="210"/>
      <c r="F48" s="220"/>
    </row>
    <row r="49" spans="1:12" x14ac:dyDescent="0.25">
      <c r="A49" s="341"/>
      <c r="B49" s="342"/>
      <c r="C49" s="342"/>
      <c r="D49" s="342"/>
      <c r="E49" s="343"/>
      <c r="F49" s="213"/>
    </row>
    <row r="50" spans="1:12" x14ac:dyDescent="0.25">
      <c r="A50" s="341"/>
      <c r="B50" s="342"/>
      <c r="C50" s="342"/>
      <c r="D50" s="342"/>
      <c r="E50" s="343"/>
      <c r="F50" s="213"/>
    </row>
    <row r="51" spans="1:12" x14ac:dyDescent="0.25">
      <c r="A51" s="341"/>
      <c r="B51" s="342"/>
      <c r="C51" s="342"/>
      <c r="D51" s="342"/>
      <c r="E51" s="343"/>
      <c r="F51" s="213"/>
    </row>
    <row r="52" spans="1:12" x14ac:dyDescent="0.25">
      <c r="A52" s="341"/>
      <c r="B52" s="342"/>
      <c r="C52" s="342"/>
      <c r="D52" s="342"/>
      <c r="E52" s="343"/>
      <c r="F52" s="213"/>
      <c r="L52" s="344"/>
    </row>
    <row r="53" spans="1:12" x14ac:dyDescent="0.25">
      <c r="A53" s="345"/>
      <c r="B53" s="346"/>
      <c r="C53" s="346"/>
      <c r="D53" s="346"/>
      <c r="E53" s="347"/>
      <c r="F53" s="347"/>
    </row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</sheetData>
  <mergeCells count="2">
    <mergeCell ref="A28:D28"/>
    <mergeCell ref="A1:H1"/>
  </mergeCells>
  <conditionalFormatting sqref="E7:E27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{913E014D-A0B0-B430-F170-97B2D316960F}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E014D-A0B0-B430-F170-97B2D316960F}">
            <x14:dataBar>
              <x14:cfvo type="min"/>
              <x14:cfvo type="max"/>
              <x14:negativeFillColor auto="1"/>
              <x14:axisColor auto="1"/>
            </x14:dataBar>
          </x14:cfRule>
          <xm:sqref>E7:E27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71"/>
  <sheetViews>
    <sheetView showGridLines="0" topLeftCell="A20" workbookViewId="0">
      <selection activeCell="N32" sqref="N32"/>
    </sheetView>
  </sheetViews>
  <sheetFormatPr defaultColWidth="12.625" defaultRowHeight="16.5" x14ac:dyDescent="0.2"/>
  <cols>
    <col min="1" max="1" width="10.875" style="49" customWidth="1"/>
    <col min="2" max="2" width="33.875" style="49" bestFit="1" customWidth="1"/>
    <col min="3" max="3" width="48" style="49" customWidth="1"/>
    <col min="4" max="4" width="19.125" style="49" bestFit="1" customWidth="1"/>
    <col min="5" max="5" width="28" style="49" customWidth="1"/>
    <col min="6" max="6" width="8" style="49" bestFit="1" customWidth="1"/>
    <col min="7" max="8" width="12.125" style="49" bestFit="1" customWidth="1"/>
    <col min="9" max="9" width="8.125" style="49" bestFit="1" customWidth="1"/>
    <col min="10" max="10" width="11.375" style="49" bestFit="1" customWidth="1"/>
    <col min="11" max="11" width="11.5" style="49" bestFit="1" customWidth="1"/>
    <col min="12" max="12" width="6.125" style="49" bestFit="1" customWidth="1"/>
    <col min="13" max="15" width="6.375" style="197" bestFit="1" customWidth="1"/>
    <col min="16" max="17" width="14.5" style="197" bestFit="1" customWidth="1"/>
    <col min="18" max="22" width="6.375" style="197" bestFit="1" customWidth="1"/>
    <col min="23" max="24" width="11.375" style="49" customWidth="1"/>
    <col min="25" max="67" width="11.375" style="49" bestFit="1" customWidth="1"/>
    <col min="68" max="80" width="9" style="49" customWidth="1"/>
    <col min="81" max="16384" width="12.625" style="49"/>
  </cols>
  <sheetData>
    <row r="1" spans="1:80" ht="20.25" x14ac:dyDescent="0.3">
      <c r="A1" s="348" t="s">
        <v>210</v>
      </c>
      <c r="B1" s="348"/>
      <c r="C1" s="348"/>
      <c r="D1" s="348"/>
      <c r="E1" s="348"/>
      <c r="F1" s="353"/>
      <c r="G1" s="353"/>
      <c r="H1" s="353"/>
      <c r="I1" s="353"/>
      <c r="J1" s="353"/>
      <c r="K1" s="353"/>
      <c r="L1" s="353"/>
      <c r="M1" s="348"/>
      <c r="N1" s="353"/>
      <c r="O1" s="353"/>
      <c r="P1" s="353"/>
      <c r="Q1" s="353"/>
      <c r="R1" s="353"/>
      <c r="S1" s="353"/>
      <c r="T1" s="353"/>
      <c r="U1" s="353"/>
      <c r="V1" s="353"/>
      <c r="BI1" s="55" t="s">
        <v>0</v>
      </c>
    </row>
    <row r="2" spans="1:80" x14ac:dyDescent="0.2">
      <c r="A2" s="359" t="s">
        <v>211</v>
      </c>
      <c r="B2" s="360"/>
      <c r="C2" s="360"/>
      <c r="D2" s="360"/>
      <c r="E2" s="360"/>
      <c r="F2" s="197"/>
      <c r="G2" s="197"/>
      <c r="H2" s="197"/>
      <c r="I2" s="197"/>
      <c r="J2" s="197"/>
      <c r="K2" s="197"/>
      <c r="L2" s="197"/>
      <c r="M2" s="69"/>
    </row>
    <row r="3" spans="1:80" x14ac:dyDescent="0.2">
      <c r="A3" s="359" t="s">
        <v>212</v>
      </c>
      <c r="B3" s="360"/>
      <c r="C3" s="360"/>
      <c r="D3" s="360"/>
      <c r="E3" s="360"/>
      <c r="F3" s="357" t="s">
        <v>213</v>
      </c>
      <c r="G3" s="361">
        <v>46211</v>
      </c>
      <c r="H3" s="172"/>
      <c r="I3" s="197"/>
      <c r="J3" s="197"/>
      <c r="K3" s="197"/>
      <c r="L3" s="197"/>
    </row>
    <row r="4" spans="1:80" x14ac:dyDescent="0.2">
      <c r="A4" s="197"/>
      <c r="B4" s="197"/>
      <c r="C4" s="197"/>
      <c r="D4" s="197"/>
      <c r="E4" s="197"/>
      <c r="F4" s="357" t="s">
        <v>214</v>
      </c>
      <c r="G4" s="362" t="s">
        <v>215</v>
      </c>
      <c r="H4" s="197"/>
      <c r="I4" s="197"/>
      <c r="J4" s="197"/>
      <c r="K4" s="197"/>
      <c r="L4" s="197"/>
    </row>
    <row r="5" spans="1:80" x14ac:dyDescent="0.2">
      <c r="A5" s="197"/>
      <c r="B5" s="197"/>
      <c r="C5" s="197"/>
      <c r="D5" s="197"/>
      <c r="E5" s="197"/>
      <c r="F5" s="357" t="s">
        <v>216</v>
      </c>
      <c r="G5" s="358">
        <v>1</v>
      </c>
      <c r="H5" s="197"/>
      <c r="I5" s="197"/>
      <c r="J5" s="197"/>
      <c r="K5" s="197"/>
      <c r="L5" s="197"/>
      <c r="M5" s="244">
        <v>46211</v>
      </c>
      <c r="N5" s="244">
        <f t="shared" ref="N5:AS5" si="0">IF($G$4="Daily",M5+1,IF($G$4="Weekly",M5+7,IF($G$4="Monthly",EDATE($G$3,N7-1),EDATE($G$3,3*(N7-1)))))</f>
        <v>46212</v>
      </c>
      <c r="O5" s="244">
        <f t="shared" si="0"/>
        <v>46213</v>
      </c>
      <c r="P5" s="250">
        <f t="shared" si="0"/>
        <v>46214</v>
      </c>
      <c r="Q5" s="250">
        <f t="shared" si="0"/>
        <v>46215</v>
      </c>
      <c r="R5" s="244">
        <f t="shared" si="0"/>
        <v>46216</v>
      </c>
      <c r="S5" s="244">
        <f t="shared" si="0"/>
        <v>46217</v>
      </c>
      <c r="T5" s="244">
        <f t="shared" si="0"/>
        <v>46218</v>
      </c>
      <c r="U5" s="244">
        <f t="shared" si="0"/>
        <v>46219</v>
      </c>
      <c r="V5" s="244">
        <f t="shared" si="0"/>
        <v>46220</v>
      </c>
      <c r="W5" s="56">
        <f t="shared" si="0"/>
        <v>46221</v>
      </c>
      <c r="X5" s="56">
        <f t="shared" si="0"/>
        <v>46222</v>
      </c>
      <c r="Y5" s="56">
        <f t="shared" si="0"/>
        <v>46223</v>
      </c>
      <c r="Z5" s="56">
        <f t="shared" si="0"/>
        <v>46224</v>
      </c>
      <c r="AA5" s="56">
        <f t="shared" si="0"/>
        <v>46225</v>
      </c>
      <c r="AB5" s="56">
        <f t="shared" si="0"/>
        <v>46226</v>
      </c>
      <c r="AC5" s="56">
        <f t="shared" si="0"/>
        <v>46227</v>
      </c>
      <c r="AD5" s="56">
        <f t="shared" si="0"/>
        <v>46228</v>
      </c>
      <c r="AE5" s="56">
        <f t="shared" si="0"/>
        <v>46229</v>
      </c>
      <c r="AF5" s="56">
        <f t="shared" si="0"/>
        <v>46230</v>
      </c>
      <c r="AG5" s="56">
        <f t="shared" si="0"/>
        <v>46231</v>
      </c>
      <c r="AH5" s="56">
        <f t="shared" si="0"/>
        <v>46232</v>
      </c>
      <c r="AI5" s="56">
        <f t="shared" si="0"/>
        <v>46233</v>
      </c>
      <c r="AJ5" s="56">
        <f t="shared" si="0"/>
        <v>46234</v>
      </c>
      <c r="AK5" s="56">
        <f t="shared" si="0"/>
        <v>46235</v>
      </c>
      <c r="AL5" s="56">
        <f t="shared" si="0"/>
        <v>46236</v>
      </c>
      <c r="AM5" s="56">
        <f t="shared" si="0"/>
        <v>46237</v>
      </c>
      <c r="AN5" s="56">
        <f t="shared" si="0"/>
        <v>46238</v>
      </c>
      <c r="AO5" s="56">
        <f t="shared" si="0"/>
        <v>46239</v>
      </c>
      <c r="AP5" s="56">
        <f t="shared" si="0"/>
        <v>46240</v>
      </c>
      <c r="AQ5" s="56">
        <f t="shared" si="0"/>
        <v>46241</v>
      </c>
      <c r="AR5" s="56">
        <f t="shared" si="0"/>
        <v>46242</v>
      </c>
      <c r="AS5" s="56">
        <f t="shared" si="0"/>
        <v>46243</v>
      </c>
      <c r="AT5" s="56">
        <f t="shared" ref="AT5:BO5" si="1">IF($G$4="Daily",AS5+1,IF($G$4="Weekly",AS5+7,IF($G$4="Monthly",EDATE($G$3,AT7-1),EDATE($G$3,3*(AT7-1)))))</f>
        <v>46244</v>
      </c>
      <c r="AU5" s="56">
        <f t="shared" si="1"/>
        <v>46245</v>
      </c>
      <c r="AV5" s="56">
        <f t="shared" si="1"/>
        <v>46246</v>
      </c>
      <c r="AW5" s="56">
        <f t="shared" si="1"/>
        <v>46247</v>
      </c>
      <c r="AX5" s="56">
        <f t="shared" si="1"/>
        <v>46248</v>
      </c>
      <c r="AY5" s="56">
        <f t="shared" si="1"/>
        <v>46249</v>
      </c>
      <c r="AZ5" s="56">
        <f t="shared" si="1"/>
        <v>46250</v>
      </c>
      <c r="BA5" s="56">
        <f t="shared" si="1"/>
        <v>46251</v>
      </c>
      <c r="BB5" s="56">
        <f t="shared" si="1"/>
        <v>46252</v>
      </c>
      <c r="BC5" s="56">
        <f t="shared" si="1"/>
        <v>46253</v>
      </c>
      <c r="BD5" s="56">
        <f t="shared" si="1"/>
        <v>46254</v>
      </c>
      <c r="BE5" s="56">
        <f t="shared" si="1"/>
        <v>46255</v>
      </c>
      <c r="BF5" s="56">
        <f t="shared" si="1"/>
        <v>46256</v>
      </c>
      <c r="BG5" s="56">
        <f t="shared" si="1"/>
        <v>46257</v>
      </c>
      <c r="BH5" s="56">
        <f t="shared" si="1"/>
        <v>46258</v>
      </c>
      <c r="BI5" s="56">
        <f t="shared" si="1"/>
        <v>46259</v>
      </c>
      <c r="BJ5" s="56">
        <f t="shared" si="1"/>
        <v>46260</v>
      </c>
      <c r="BK5" s="56">
        <f t="shared" si="1"/>
        <v>46261</v>
      </c>
      <c r="BL5" s="56">
        <f t="shared" si="1"/>
        <v>46262</v>
      </c>
      <c r="BM5" s="56">
        <f t="shared" si="1"/>
        <v>46263</v>
      </c>
      <c r="BN5" s="56">
        <f t="shared" si="1"/>
        <v>46264</v>
      </c>
      <c r="BO5" s="56">
        <f t="shared" si="1"/>
        <v>46265</v>
      </c>
    </row>
    <row r="6" spans="1:80" ht="49.5" x14ac:dyDescent="0.2">
      <c r="J6" s="197"/>
      <c r="K6" s="197"/>
      <c r="L6" s="197"/>
      <c r="M6" s="70" t="s">
        <v>217</v>
      </c>
      <c r="N6" s="70" t="s">
        <v>218</v>
      </c>
      <c r="O6" s="70" t="s">
        <v>219</v>
      </c>
      <c r="P6" s="251" t="s">
        <v>220</v>
      </c>
      <c r="Q6" s="251" t="s">
        <v>221</v>
      </c>
      <c r="R6" s="70" t="s">
        <v>222</v>
      </c>
      <c r="S6" s="70" t="s">
        <v>223</v>
      </c>
      <c r="T6" s="70" t="s">
        <v>217</v>
      </c>
      <c r="U6" s="70" t="s">
        <v>218</v>
      </c>
      <c r="V6" s="70" t="s">
        <v>219</v>
      </c>
      <c r="W6" s="71" t="s">
        <v>1</v>
      </c>
      <c r="X6" s="71" t="s">
        <v>2</v>
      </c>
      <c r="Y6" s="72" t="str">
        <f t="shared" ref="Y6:BO6" si="2">DAY(Y5)&amp;CHAR(10)&amp;LEFT(TEXT(Y5,"mmm"),3)&amp;CHAR(10)&amp;"'"&amp;RIGHT(YEAR(Y5),2)</f>
        <v>20
Jul
'26</v>
      </c>
      <c r="Z6" s="72" t="str">
        <f t="shared" si="2"/>
        <v>21
Jul
'26</v>
      </c>
      <c r="AA6" s="72" t="str">
        <f t="shared" si="2"/>
        <v>22
Jul
'26</v>
      </c>
      <c r="AB6" s="72" t="str">
        <f t="shared" si="2"/>
        <v>23
Jul
'26</v>
      </c>
      <c r="AC6" s="72" t="str">
        <f t="shared" si="2"/>
        <v>24
Jul
'26</v>
      </c>
      <c r="AD6" s="72" t="str">
        <f t="shared" si="2"/>
        <v>25
Jul
'26</v>
      </c>
      <c r="AE6" s="72" t="str">
        <f t="shared" si="2"/>
        <v>26
Jul
'26</v>
      </c>
      <c r="AF6" s="72" t="str">
        <f t="shared" si="2"/>
        <v>27
Jul
'26</v>
      </c>
      <c r="AG6" s="72" t="str">
        <f t="shared" si="2"/>
        <v>28
Jul
'26</v>
      </c>
      <c r="AH6" s="72" t="str">
        <f t="shared" si="2"/>
        <v>29
Jul
'26</v>
      </c>
      <c r="AI6" s="72" t="str">
        <f t="shared" si="2"/>
        <v>30
Jul
'26</v>
      </c>
      <c r="AJ6" s="72" t="str">
        <f t="shared" si="2"/>
        <v>31
Jul
'26</v>
      </c>
      <c r="AK6" s="72" t="str">
        <f t="shared" si="2"/>
        <v>1
Aug
'26</v>
      </c>
      <c r="AL6" s="72" t="str">
        <f t="shared" si="2"/>
        <v>2
Aug
'26</v>
      </c>
      <c r="AM6" s="72" t="str">
        <f t="shared" si="2"/>
        <v>3
Aug
'26</v>
      </c>
      <c r="AN6" s="72" t="str">
        <f t="shared" si="2"/>
        <v>4
Aug
'26</v>
      </c>
      <c r="AO6" s="72" t="str">
        <f t="shared" si="2"/>
        <v>5
Aug
'26</v>
      </c>
      <c r="AP6" s="72" t="str">
        <f t="shared" si="2"/>
        <v>6
Aug
'26</v>
      </c>
      <c r="AQ6" s="72" t="str">
        <f t="shared" si="2"/>
        <v>7
Aug
'26</v>
      </c>
      <c r="AR6" s="72" t="str">
        <f t="shared" si="2"/>
        <v>8
Aug
'26</v>
      </c>
      <c r="AS6" s="72" t="str">
        <f t="shared" si="2"/>
        <v>9
Aug
'26</v>
      </c>
      <c r="AT6" s="72" t="str">
        <f t="shared" si="2"/>
        <v>10
Aug
'26</v>
      </c>
      <c r="AU6" s="72" t="str">
        <f t="shared" si="2"/>
        <v>11
Aug
'26</v>
      </c>
      <c r="AV6" s="72" t="str">
        <f t="shared" si="2"/>
        <v>12
Aug
'26</v>
      </c>
      <c r="AW6" s="72" t="str">
        <f t="shared" si="2"/>
        <v>13
Aug
'26</v>
      </c>
      <c r="AX6" s="72" t="str">
        <f t="shared" si="2"/>
        <v>14
Aug
'26</v>
      </c>
      <c r="AY6" s="72" t="str">
        <f t="shared" si="2"/>
        <v>15
Aug
'26</v>
      </c>
      <c r="AZ6" s="72" t="str">
        <f t="shared" si="2"/>
        <v>16
Aug
'26</v>
      </c>
      <c r="BA6" s="72" t="str">
        <f t="shared" si="2"/>
        <v>17
Aug
'26</v>
      </c>
      <c r="BB6" s="72" t="str">
        <f t="shared" si="2"/>
        <v>18
Aug
'26</v>
      </c>
      <c r="BC6" s="72" t="str">
        <f t="shared" si="2"/>
        <v>19
Aug
'26</v>
      </c>
      <c r="BD6" s="72" t="str">
        <f t="shared" si="2"/>
        <v>20
Aug
'26</v>
      </c>
      <c r="BE6" s="72" t="str">
        <f t="shared" si="2"/>
        <v>21
Aug
'26</v>
      </c>
      <c r="BF6" s="72" t="str">
        <f t="shared" si="2"/>
        <v>22
Aug
'26</v>
      </c>
      <c r="BG6" s="72" t="str">
        <f t="shared" si="2"/>
        <v>23
Aug
'26</v>
      </c>
      <c r="BH6" s="72" t="str">
        <f t="shared" si="2"/>
        <v>24
Aug
'26</v>
      </c>
      <c r="BI6" s="72" t="str">
        <f t="shared" si="2"/>
        <v>25
Aug
'26</v>
      </c>
      <c r="BJ6" s="72" t="str">
        <f t="shared" si="2"/>
        <v>26
Aug
'26</v>
      </c>
      <c r="BK6" s="72" t="str">
        <f t="shared" si="2"/>
        <v>27
Aug
'26</v>
      </c>
      <c r="BL6" s="72" t="str">
        <f t="shared" si="2"/>
        <v>28
Aug
'26</v>
      </c>
      <c r="BM6" s="72" t="str">
        <f t="shared" si="2"/>
        <v>29
Aug
'26</v>
      </c>
      <c r="BN6" s="72" t="str">
        <f t="shared" si="2"/>
        <v>30
Aug
'26</v>
      </c>
      <c r="BO6" s="72" t="str">
        <f t="shared" si="2"/>
        <v>31
Aug
'26</v>
      </c>
    </row>
    <row r="7" spans="1:80" ht="33" x14ac:dyDescent="0.2">
      <c r="A7" s="194" t="s">
        <v>152</v>
      </c>
      <c r="B7" s="194" t="s">
        <v>224</v>
      </c>
      <c r="C7" s="194" t="s">
        <v>225</v>
      </c>
      <c r="D7" s="194" t="s">
        <v>93</v>
      </c>
      <c r="E7" s="194" t="s">
        <v>94</v>
      </c>
      <c r="F7" s="194" t="s">
        <v>226</v>
      </c>
      <c r="G7" s="194" t="s">
        <v>227</v>
      </c>
      <c r="H7" s="194" t="s">
        <v>228</v>
      </c>
      <c r="I7" s="194" t="s">
        <v>229</v>
      </c>
      <c r="J7" s="194" t="s">
        <v>230</v>
      </c>
      <c r="K7" s="194" t="s">
        <v>231</v>
      </c>
      <c r="L7" s="194" t="s">
        <v>232</v>
      </c>
      <c r="M7" s="245">
        <v>46211</v>
      </c>
      <c r="N7" s="245">
        <v>46212</v>
      </c>
      <c r="O7" s="245">
        <v>46213</v>
      </c>
      <c r="P7" s="252">
        <v>46214</v>
      </c>
      <c r="Q7" s="252">
        <v>46215</v>
      </c>
      <c r="R7" s="245">
        <v>46216</v>
      </c>
      <c r="S7" s="245">
        <v>46217</v>
      </c>
      <c r="T7" s="245">
        <v>46218</v>
      </c>
      <c r="U7" s="245">
        <v>46219</v>
      </c>
      <c r="V7" s="245">
        <v>46220</v>
      </c>
      <c r="W7" s="73">
        <v>46221</v>
      </c>
      <c r="X7" s="73">
        <v>46222</v>
      </c>
      <c r="Y7" s="74">
        <f t="shared" ref="Y7:BO7" si="3">X7+1</f>
        <v>46223</v>
      </c>
      <c r="Z7" s="74">
        <f t="shared" si="3"/>
        <v>46224</v>
      </c>
      <c r="AA7" s="74">
        <f t="shared" si="3"/>
        <v>46225</v>
      </c>
      <c r="AB7" s="74">
        <f t="shared" si="3"/>
        <v>46226</v>
      </c>
      <c r="AC7" s="74">
        <f t="shared" si="3"/>
        <v>46227</v>
      </c>
      <c r="AD7" s="74">
        <f t="shared" si="3"/>
        <v>46228</v>
      </c>
      <c r="AE7" s="74">
        <f t="shared" si="3"/>
        <v>46229</v>
      </c>
      <c r="AF7" s="74">
        <f t="shared" si="3"/>
        <v>46230</v>
      </c>
      <c r="AG7" s="74">
        <f t="shared" si="3"/>
        <v>46231</v>
      </c>
      <c r="AH7" s="74">
        <f t="shared" si="3"/>
        <v>46232</v>
      </c>
      <c r="AI7" s="74">
        <f t="shared" si="3"/>
        <v>46233</v>
      </c>
      <c r="AJ7" s="74">
        <f t="shared" si="3"/>
        <v>46234</v>
      </c>
      <c r="AK7" s="74">
        <f t="shared" si="3"/>
        <v>46235</v>
      </c>
      <c r="AL7" s="74">
        <f t="shared" si="3"/>
        <v>46236</v>
      </c>
      <c r="AM7" s="74">
        <f t="shared" si="3"/>
        <v>46237</v>
      </c>
      <c r="AN7" s="74">
        <f t="shared" si="3"/>
        <v>46238</v>
      </c>
      <c r="AO7" s="74">
        <f t="shared" si="3"/>
        <v>46239</v>
      </c>
      <c r="AP7" s="74">
        <f t="shared" si="3"/>
        <v>46240</v>
      </c>
      <c r="AQ7" s="74">
        <f t="shared" si="3"/>
        <v>46241</v>
      </c>
      <c r="AR7" s="74">
        <f t="shared" si="3"/>
        <v>46242</v>
      </c>
      <c r="AS7" s="74">
        <f t="shared" si="3"/>
        <v>46243</v>
      </c>
      <c r="AT7" s="74">
        <f t="shared" si="3"/>
        <v>46244</v>
      </c>
      <c r="AU7" s="74">
        <f t="shared" si="3"/>
        <v>46245</v>
      </c>
      <c r="AV7" s="74">
        <f t="shared" si="3"/>
        <v>46246</v>
      </c>
      <c r="AW7" s="74">
        <f t="shared" si="3"/>
        <v>46247</v>
      </c>
      <c r="AX7" s="74">
        <f t="shared" si="3"/>
        <v>46248</v>
      </c>
      <c r="AY7" s="74">
        <f t="shared" si="3"/>
        <v>46249</v>
      </c>
      <c r="AZ7" s="74">
        <f t="shared" si="3"/>
        <v>46250</v>
      </c>
      <c r="BA7" s="74">
        <f t="shared" si="3"/>
        <v>46251</v>
      </c>
      <c r="BB7" s="74">
        <f t="shared" si="3"/>
        <v>46252</v>
      </c>
      <c r="BC7" s="74">
        <f t="shared" si="3"/>
        <v>46253</v>
      </c>
      <c r="BD7" s="74">
        <f t="shared" si="3"/>
        <v>46254</v>
      </c>
      <c r="BE7" s="74">
        <f t="shared" si="3"/>
        <v>46255</v>
      </c>
      <c r="BF7" s="74">
        <f t="shared" si="3"/>
        <v>46256</v>
      </c>
      <c r="BG7" s="74">
        <f t="shared" si="3"/>
        <v>46257</v>
      </c>
      <c r="BH7" s="74">
        <f t="shared" si="3"/>
        <v>46258</v>
      </c>
      <c r="BI7" s="74">
        <f t="shared" si="3"/>
        <v>46259</v>
      </c>
      <c r="BJ7" s="74">
        <f t="shared" si="3"/>
        <v>46260</v>
      </c>
      <c r="BK7" s="74">
        <f t="shared" si="3"/>
        <v>46261</v>
      </c>
      <c r="BL7" s="74">
        <f t="shared" si="3"/>
        <v>46262</v>
      </c>
      <c r="BM7" s="74">
        <f t="shared" si="3"/>
        <v>46263</v>
      </c>
      <c r="BN7" s="74">
        <f t="shared" si="3"/>
        <v>46264</v>
      </c>
      <c r="BO7" s="74">
        <f t="shared" si="3"/>
        <v>46265</v>
      </c>
    </row>
    <row r="8" spans="1:80" ht="33" x14ac:dyDescent="0.2">
      <c r="A8" s="246" t="s">
        <v>160</v>
      </c>
      <c r="B8" s="246" t="s">
        <v>233</v>
      </c>
      <c r="C8" s="246" t="s">
        <v>234</v>
      </c>
      <c r="D8" s="246" t="s">
        <v>61</v>
      </c>
      <c r="E8" s="246" t="s">
        <v>98</v>
      </c>
      <c r="F8" s="247">
        <v>1</v>
      </c>
      <c r="G8" s="248">
        <v>46211</v>
      </c>
      <c r="H8" s="248">
        <v>46212</v>
      </c>
      <c r="I8" s="249">
        <f t="shared" ref="I8:I17" si="4">IF(OR(ISBLANK(G8),ISBLANK(H8)),"",H8-G8+1)</f>
        <v>2</v>
      </c>
      <c r="J8" s="248">
        <v>46211</v>
      </c>
      <c r="K8" s="248">
        <v>46212</v>
      </c>
      <c r="L8" s="249">
        <v>2</v>
      </c>
      <c r="M8" s="198"/>
      <c r="N8" s="198"/>
      <c r="O8" s="198"/>
      <c r="P8" s="253"/>
      <c r="Q8" s="253"/>
      <c r="R8" s="198"/>
      <c r="S8" s="198"/>
      <c r="T8" s="198"/>
      <c r="U8" s="198"/>
      <c r="V8" s="198"/>
      <c r="W8" s="57"/>
      <c r="X8" s="57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</row>
    <row r="9" spans="1:80" ht="33" x14ac:dyDescent="0.2">
      <c r="A9" s="59">
        <v>1</v>
      </c>
      <c r="B9" s="59" t="s">
        <v>235</v>
      </c>
      <c r="C9" s="173" t="s">
        <v>236</v>
      </c>
      <c r="D9" s="59" t="s">
        <v>61</v>
      </c>
      <c r="E9" s="59" t="s">
        <v>107</v>
      </c>
      <c r="F9" s="76">
        <v>1</v>
      </c>
      <c r="G9" s="77">
        <v>46211</v>
      </c>
      <c r="H9" s="77">
        <v>46211</v>
      </c>
      <c r="I9" s="145">
        <f t="shared" si="4"/>
        <v>1</v>
      </c>
      <c r="J9" s="77">
        <v>46211</v>
      </c>
      <c r="K9" s="77">
        <v>46211</v>
      </c>
      <c r="L9" s="145">
        <v>1</v>
      </c>
      <c r="M9" s="254" t="s">
        <v>30</v>
      </c>
      <c r="N9" s="199"/>
      <c r="O9" s="199"/>
      <c r="P9" s="255"/>
      <c r="Q9" s="255"/>
      <c r="R9" s="199"/>
      <c r="S9" s="199"/>
      <c r="T9" s="199"/>
      <c r="U9" s="199"/>
      <c r="V9" s="199"/>
      <c r="W9" s="78"/>
      <c r="X9" s="78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</row>
    <row r="10" spans="1:80" ht="33" x14ac:dyDescent="0.2">
      <c r="A10" s="53">
        <v>2</v>
      </c>
      <c r="B10" s="60" t="s">
        <v>237</v>
      </c>
      <c r="C10" s="60" t="s">
        <v>238</v>
      </c>
      <c r="D10" s="53" t="s">
        <v>61</v>
      </c>
      <c r="E10" s="53" t="s">
        <v>103</v>
      </c>
      <c r="F10" s="76">
        <v>1</v>
      </c>
      <c r="G10" s="79">
        <v>46211</v>
      </c>
      <c r="H10" s="79">
        <v>46212</v>
      </c>
      <c r="I10" s="146">
        <f t="shared" si="4"/>
        <v>2</v>
      </c>
      <c r="J10" s="79">
        <v>46211</v>
      </c>
      <c r="K10" s="79">
        <v>46212</v>
      </c>
      <c r="L10" s="146">
        <v>2</v>
      </c>
      <c r="M10" s="254" t="s">
        <v>30</v>
      </c>
      <c r="N10" s="199" t="s">
        <v>30</v>
      </c>
      <c r="O10" s="199"/>
      <c r="P10" s="255"/>
      <c r="Q10" s="255"/>
      <c r="R10" s="199"/>
      <c r="S10" s="199"/>
      <c r="T10" s="199"/>
      <c r="U10" s="199"/>
      <c r="V10" s="199"/>
      <c r="W10" s="78"/>
      <c r="X10" s="78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</row>
    <row r="11" spans="1:80" ht="33" x14ac:dyDescent="0.2">
      <c r="A11" s="53">
        <v>3</v>
      </c>
      <c r="B11" s="60" t="s">
        <v>239</v>
      </c>
      <c r="C11" s="60" t="s">
        <v>240</v>
      </c>
      <c r="D11" s="53" t="s">
        <v>107</v>
      </c>
      <c r="E11" s="53" t="s">
        <v>61</v>
      </c>
      <c r="F11" s="76">
        <v>1</v>
      </c>
      <c r="G11" s="79">
        <v>46211</v>
      </c>
      <c r="H11" s="79">
        <v>46212</v>
      </c>
      <c r="I11" s="146">
        <f t="shared" si="4"/>
        <v>2</v>
      </c>
      <c r="J11" s="79">
        <v>46211</v>
      </c>
      <c r="K11" s="79">
        <v>46212</v>
      </c>
      <c r="L11" s="146">
        <v>2</v>
      </c>
      <c r="M11" s="199" t="s">
        <v>30</v>
      </c>
      <c r="N11" s="254" t="s">
        <v>30</v>
      </c>
      <c r="O11" s="199"/>
      <c r="P11" s="255"/>
      <c r="Q11" s="255"/>
      <c r="R11" s="199"/>
      <c r="S11" s="199"/>
      <c r="T11" s="199"/>
      <c r="U11" s="199"/>
      <c r="V11" s="199"/>
      <c r="W11" s="78"/>
      <c r="X11" s="78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</row>
    <row r="12" spans="1:80" x14ac:dyDescent="0.2">
      <c r="A12" s="53">
        <v>4</v>
      </c>
      <c r="B12" s="60" t="s">
        <v>168</v>
      </c>
      <c r="C12" s="60" t="s">
        <v>241</v>
      </c>
      <c r="D12" s="53" t="s">
        <v>103</v>
      </c>
      <c r="E12" s="53" t="s">
        <v>61</v>
      </c>
      <c r="F12" s="80">
        <v>1</v>
      </c>
      <c r="G12" s="79">
        <v>46211</v>
      </c>
      <c r="H12" s="79">
        <v>46213</v>
      </c>
      <c r="I12" s="146">
        <f t="shared" si="4"/>
        <v>3</v>
      </c>
      <c r="J12" s="79">
        <v>46211</v>
      </c>
      <c r="K12" s="79">
        <v>46213</v>
      </c>
      <c r="L12" s="146">
        <v>3</v>
      </c>
      <c r="M12" s="199" t="s">
        <v>30</v>
      </c>
      <c r="N12" s="256" t="s">
        <v>30</v>
      </c>
      <c r="O12" s="256" t="s">
        <v>30</v>
      </c>
      <c r="P12" s="255"/>
      <c r="Q12" s="255"/>
      <c r="R12" s="199"/>
      <c r="S12" s="199"/>
      <c r="T12" s="199"/>
      <c r="U12" s="199"/>
      <c r="V12" s="199"/>
      <c r="W12" s="78"/>
      <c r="X12" s="7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</row>
    <row r="13" spans="1:80" x14ac:dyDescent="0.2">
      <c r="A13" s="246" t="s">
        <v>170</v>
      </c>
      <c r="B13" s="246" t="s">
        <v>171</v>
      </c>
      <c r="C13" s="246" t="s">
        <v>242</v>
      </c>
      <c r="D13" s="246" t="s">
        <v>61</v>
      </c>
      <c r="E13" s="246" t="s">
        <v>98</v>
      </c>
      <c r="F13" s="247">
        <v>1</v>
      </c>
      <c r="G13" s="248">
        <v>46212</v>
      </c>
      <c r="H13" s="248">
        <v>46213</v>
      </c>
      <c r="I13" s="249">
        <f t="shared" si="4"/>
        <v>2</v>
      </c>
      <c r="J13" s="248">
        <v>46212</v>
      </c>
      <c r="K13" s="248">
        <v>46213</v>
      </c>
      <c r="L13" s="249">
        <v>2</v>
      </c>
      <c r="M13" s="198"/>
      <c r="N13" s="198"/>
      <c r="O13" s="198"/>
      <c r="P13" s="253"/>
      <c r="Q13" s="253"/>
      <c r="R13" s="198"/>
      <c r="S13" s="198"/>
      <c r="T13" s="198"/>
      <c r="U13" s="198"/>
      <c r="V13" s="198"/>
      <c r="W13" s="57"/>
      <c r="X13" s="57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</row>
    <row r="14" spans="1:80" ht="33" x14ac:dyDescent="0.2">
      <c r="A14" s="53">
        <v>5</v>
      </c>
      <c r="B14" s="60" t="s">
        <v>243</v>
      </c>
      <c r="C14" s="60" t="s">
        <v>244</v>
      </c>
      <c r="D14" s="53" t="s">
        <v>61</v>
      </c>
      <c r="E14" s="53" t="s">
        <v>119</v>
      </c>
      <c r="F14" s="82">
        <v>1</v>
      </c>
      <c r="G14" s="79">
        <v>46212</v>
      </c>
      <c r="H14" s="79">
        <v>46213</v>
      </c>
      <c r="I14" s="146">
        <f t="shared" si="4"/>
        <v>2</v>
      </c>
      <c r="J14" s="79">
        <v>46212</v>
      </c>
      <c r="K14" s="79">
        <v>46213</v>
      </c>
      <c r="L14" s="146">
        <v>2</v>
      </c>
      <c r="M14" s="199"/>
      <c r="N14" s="199" t="s">
        <v>30</v>
      </c>
      <c r="O14" s="257" t="s">
        <v>30</v>
      </c>
      <c r="P14" s="255"/>
      <c r="Q14" s="255"/>
      <c r="R14" s="199"/>
      <c r="S14" s="199"/>
      <c r="T14" s="199"/>
      <c r="U14" s="199"/>
      <c r="V14" s="199"/>
      <c r="W14" s="78"/>
      <c r="X14" s="78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83"/>
      <c r="BD14" s="83"/>
      <c r="BE14" s="83"/>
      <c r="BF14" s="83"/>
      <c r="BG14" s="75"/>
      <c r="BH14" s="75"/>
      <c r="BI14" s="75"/>
      <c r="BJ14" s="75"/>
      <c r="BK14" s="75"/>
      <c r="BL14" s="75"/>
      <c r="BM14" s="75"/>
      <c r="BN14" s="75"/>
    </row>
    <row r="15" spans="1:80" ht="33" x14ac:dyDescent="0.2">
      <c r="A15" s="59">
        <v>6</v>
      </c>
      <c r="B15" s="59" t="s">
        <v>174</v>
      </c>
      <c r="C15" s="173" t="s">
        <v>245</v>
      </c>
      <c r="D15" s="59" t="s">
        <v>124</v>
      </c>
      <c r="E15" s="59" t="s">
        <v>107</v>
      </c>
      <c r="F15" s="84">
        <v>1</v>
      </c>
      <c r="G15" s="77">
        <v>46212</v>
      </c>
      <c r="H15" s="77">
        <v>46213</v>
      </c>
      <c r="I15" s="145">
        <f t="shared" si="4"/>
        <v>2</v>
      </c>
      <c r="J15" s="77">
        <v>46212</v>
      </c>
      <c r="K15" s="77">
        <v>46213</v>
      </c>
      <c r="L15" s="145">
        <v>2</v>
      </c>
      <c r="M15" s="199"/>
      <c r="N15" s="199" t="s">
        <v>30</v>
      </c>
      <c r="O15" s="257" t="s">
        <v>30</v>
      </c>
      <c r="P15" s="255"/>
      <c r="Q15" s="255"/>
      <c r="R15" s="199"/>
      <c r="S15" s="199"/>
      <c r="T15" s="199"/>
      <c r="U15" s="199"/>
      <c r="V15" s="199"/>
      <c r="W15" s="78"/>
      <c r="X15" s="78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</row>
    <row r="16" spans="1:80" ht="33" x14ac:dyDescent="0.2">
      <c r="A16" s="53">
        <v>7</v>
      </c>
      <c r="B16" s="60" t="s">
        <v>246</v>
      </c>
      <c r="C16" s="60" t="s">
        <v>247</v>
      </c>
      <c r="D16" s="53" t="s">
        <v>119</v>
      </c>
      <c r="E16" s="53" t="s">
        <v>108</v>
      </c>
      <c r="F16" s="80">
        <v>1</v>
      </c>
      <c r="G16" s="79">
        <v>46213</v>
      </c>
      <c r="H16" s="79">
        <v>46213</v>
      </c>
      <c r="I16" s="146">
        <f t="shared" si="4"/>
        <v>1</v>
      </c>
      <c r="J16" s="79">
        <v>46213</v>
      </c>
      <c r="K16" s="79">
        <v>46213</v>
      </c>
      <c r="L16" s="146">
        <v>1</v>
      </c>
      <c r="M16" s="199"/>
      <c r="N16" s="256"/>
      <c r="O16" s="256" t="s">
        <v>30</v>
      </c>
      <c r="P16" s="255"/>
      <c r="Q16" s="255"/>
      <c r="R16" s="199"/>
      <c r="S16" s="199"/>
      <c r="T16" s="199"/>
      <c r="U16" s="199"/>
      <c r="V16" s="199"/>
      <c r="W16" s="78"/>
      <c r="X16" s="78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</row>
    <row r="17" spans="1:80" x14ac:dyDescent="0.2">
      <c r="A17" s="246" t="s">
        <v>178</v>
      </c>
      <c r="B17" s="246" t="s">
        <v>179</v>
      </c>
      <c r="C17" s="246" t="s">
        <v>248</v>
      </c>
      <c r="D17" s="246" t="s">
        <v>61</v>
      </c>
      <c r="E17" s="246" t="s">
        <v>98</v>
      </c>
      <c r="F17" s="247">
        <v>1</v>
      </c>
      <c r="G17" s="248">
        <v>46213</v>
      </c>
      <c r="H17" s="248">
        <v>46219</v>
      </c>
      <c r="I17" s="249">
        <f t="shared" si="4"/>
        <v>7</v>
      </c>
      <c r="J17" s="248">
        <v>46213</v>
      </c>
      <c r="K17" s="248">
        <v>46219</v>
      </c>
      <c r="L17" s="249">
        <v>5</v>
      </c>
      <c r="M17" s="198"/>
      <c r="N17" s="198"/>
      <c r="O17" s="198"/>
      <c r="P17" s="253"/>
      <c r="Q17" s="253"/>
      <c r="R17" s="198"/>
      <c r="S17" s="198"/>
      <c r="T17" s="198"/>
      <c r="U17" s="198"/>
      <c r="V17" s="198"/>
      <c r="W17" s="57"/>
      <c r="X17" s="57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</row>
    <row r="18" spans="1:80" ht="33" x14ac:dyDescent="0.2">
      <c r="A18" s="53">
        <v>8</v>
      </c>
      <c r="B18" s="60" t="s">
        <v>249</v>
      </c>
      <c r="C18" s="60" t="s">
        <v>250</v>
      </c>
      <c r="D18" s="53" t="s">
        <v>61</v>
      </c>
      <c r="E18" s="53" t="s">
        <v>119</v>
      </c>
      <c r="F18" s="82">
        <v>1</v>
      </c>
      <c r="G18" s="79">
        <v>46213</v>
      </c>
      <c r="H18" s="79">
        <v>46213</v>
      </c>
      <c r="I18" s="146">
        <f t="shared" ref="I18:I23" si="5">IF(OR(ISBLANK(G18),ISBLANK(H18)),"",H18-G18+1)</f>
        <v>1</v>
      </c>
      <c r="J18" s="79">
        <v>46213</v>
      </c>
      <c r="K18" s="79">
        <v>46213</v>
      </c>
      <c r="L18" s="146">
        <f t="shared" ref="L18:L23" si="6">IF(OR(ISBLANK(J18),ISBLANK(K18)),"",K18-J18+1)</f>
        <v>1</v>
      </c>
      <c r="M18" s="199"/>
      <c r="N18" s="199"/>
      <c r="O18" s="199" t="s">
        <v>30</v>
      </c>
      <c r="P18" s="255"/>
      <c r="Q18" s="255"/>
      <c r="R18" s="257"/>
      <c r="S18" s="199"/>
      <c r="T18" s="199"/>
      <c r="U18" s="199"/>
      <c r="V18" s="199"/>
      <c r="W18" s="78"/>
      <c r="X18" s="78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</row>
    <row r="19" spans="1:80" ht="33" x14ac:dyDescent="0.2">
      <c r="A19" s="53">
        <v>9</v>
      </c>
      <c r="B19" s="60" t="s">
        <v>251</v>
      </c>
      <c r="C19" s="60" t="s">
        <v>252</v>
      </c>
      <c r="D19" s="53" t="s">
        <v>124</v>
      </c>
      <c r="E19" s="53" t="s">
        <v>107</v>
      </c>
      <c r="F19" s="82">
        <v>1</v>
      </c>
      <c r="G19" s="79">
        <v>46213</v>
      </c>
      <c r="H19" s="79">
        <v>46213</v>
      </c>
      <c r="I19" s="146">
        <f t="shared" si="5"/>
        <v>1</v>
      </c>
      <c r="J19" s="79">
        <v>46213</v>
      </c>
      <c r="K19" s="79">
        <v>46213</v>
      </c>
      <c r="L19" s="146">
        <f t="shared" si="6"/>
        <v>1</v>
      </c>
      <c r="M19" s="199"/>
      <c r="N19" s="199"/>
      <c r="O19" s="199" t="s">
        <v>30</v>
      </c>
      <c r="P19" s="255"/>
      <c r="Q19" s="255"/>
      <c r="R19" s="257"/>
      <c r="S19" s="257"/>
      <c r="T19" s="199"/>
      <c r="U19" s="199"/>
      <c r="V19" s="199"/>
      <c r="W19" s="78"/>
      <c r="X19" s="78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</row>
    <row r="20" spans="1:80" ht="33" x14ac:dyDescent="0.2">
      <c r="A20" s="53">
        <v>10</v>
      </c>
      <c r="B20" s="60" t="s">
        <v>253</v>
      </c>
      <c r="C20" s="60" t="s">
        <v>254</v>
      </c>
      <c r="D20" s="53" t="s">
        <v>61</v>
      </c>
      <c r="E20" s="53" t="s">
        <v>119</v>
      </c>
      <c r="F20" s="82">
        <v>1</v>
      </c>
      <c r="G20" s="79">
        <v>46216</v>
      </c>
      <c r="H20" s="79">
        <v>46216</v>
      </c>
      <c r="I20" s="146">
        <f t="shared" si="5"/>
        <v>1</v>
      </c>
      <c r="J20" s="79">
        <v>46216</v>
      </c>
      <c r="K20" s="79">
        <v>46216</v>
      </c>
      <c r="L20" s="146">
        <f t="shared" si="6"/>
        <v>1</v>
      </c>
      <c r="M20" s="199"/>
      <c r="N20" s="199"/>
      <c r="O20" s="199"/>
      <c r="P20" s="255"/>
      <c r="Q20" s="255"/>
      <c r="R20" s="199" t="s">
        <v>30</v>
      </c>
      <c r="S20" s="257"/>
      <c r="T20" s="257"/>
      <c r="U20" s="199"/>
      <c r="V20" s="199"/>
      <c r="W20" s="78"/>
      <c r="X20" s="78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</row>
    <row r="21" spans="1:80" ht="33" x14ac:dyDescent="0.2">
      <c r="A21" s="59">
        <v>11</v>
      </c>
      <c r="B21" s="59" t="s">
        <v>255</v>
      </c>
      <c r="C21" s="173" t="s">
        <v>256</v>
      </c>
      <c r="D21" s="59" t="s">
        <v>124</v>
      </c>
      <c r="E21" s="59" t="s">
        <v>107</v>
      </c>
      <c r="F21" s="84">
        <v>1</v>
      </c>
      <c r="G21" s="77">
        <v>46216</v>
      </c>
      <c r="H21" s="77">
        <v>46216</v>
      </c>
      <c r="I21" s="145">
        <f t="shared" si="5"/>
        <v>1</v>
      </c>
      <c r="J21" s="85">
        <v>46216</v>
      </c>
      <c r="K21" s="85">
        <v>46216</v>
      </c>
      <c r="L21" s="145">
        <f t="shared" si="6"/>
        <v>1</v>
      </c>
      <c r="M21" s="199"/>
      <c r="N21" s="199"/>
      <c r="O21" s="199"/>
      <c r="P21" s="255"/>
      <c r="Q21" s="255"/>
      <c r="R21" s="199" t="s">
        <v>30</v>
      </c>
      <c r="S21" s="199"/>
      <c r="T21" s="257"/>
      <c r="U21" s="257"/>
      <c r="V21" s="199"/>
      <c r="W21" s="78"/>
      <c r="X21" s="78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</row>
    <row r="22" spans="1:80" ht="33" x14ac:dyDescent="0.2">
      <c r="A22" s="53">
        <v>12</v>
      </c>
      <c r="B22" s="53" t="s">
        <v>257</v>
      </c>
      <c r="C22" s="60" t="s">
        <v>258</v>
      </c>
      <c r="D22" s="53" t="s">
        <v>119</v>
      </c>
      <c r="E22" s="53" t="s">
        <v>61</v>
      </c>
      <c r="F22" s="82">
        <v>1</v>
      </c>
      <c r="G22" s="86">
        <v>46217</v>
      </c>
      <c r="H22" s="86">
        <v>46217</v>
      </c>
      <c r="I22" s="146">
        <f t="shared" si="5"/>
        <v>1</v>
      </c>
      <c r="J22" s="79">
        <v>46217</v>
      </c>
      <c r="K22" s="79">
        <v>46217</v>
      </c>
      <c r="L22" s="146">
        <f t="shared" si="6"/>
        <v>1</v>
      </c>
      <c r="M22" s="199"/>
      <c r="N22" s="199"/>
      <c r="O22" s="199"/>
      <c r="P22" s="255"/>
      <c r="Q22" s="255"/>
      <c r="R22" s="199"/>
      <c r="S22" s="199" t="s">
        <v>30</v>
      </c>
      <c r="T22" s="199"/>
      <c r="U22" s="257"/>
      <c r="V22" s="257"/>
      <c r="W22" s="78"/>
      <c r="X22" s="78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</row>
    <row r="23" spans="1:80" ht="34.5" x14ac:dyDescent="0.2">
      <c r="A23" s="60">
        <v>13</v>
      </c>
      <c r="B23" s="60" t="s">
        <v>259</v>
      </c>
      <c r="C23" s="62" t="s">
        <v>260</v>
      </c>
      <c r="D23" s="53" t="s">
        <v>124</v>
      </c>
      <c r="E23" s="53" t="s">
        <v>107</v>
      </c>
      <c r="F23" s="82">
        <v>1</v>
      </c>
      <c r="G23" s="87">
        <v>46217</v>
      </c>
      <c r="H23" s="87">
        <v>46217</v>
      </c>
      <c r="I23" s="147">
        <f t="shared" si="5"/>
        <v>1</v>
      </c>
      <c r="J23" s="79">
        <v>46217</v>
      </c>
      <c r="K23" s="79">
        <v>46217</v>
      </c>
      <c r="L23" s="146">
        <f t="shared" si="6"/>
        <v>1</v>
      </c>
      <c r="M23" s="199"/>
      <c r="N23" s="199"/>
      <c r="O23" s="199"/>
      <c r="P23" s="255"/>
      <c r="Q23" s="255"/>
      <c r="R23" s="199"/>
      <c r="S23" s="199" t="s">
        <v>30</v>
      </c>
      <c r="T23" s="199"/>
      <c r="U23" s="199"/>
      <c r="V23" s="257"/>
      <c r="W23" s="78"/>
      <c r="X23" s="78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</row>
    <row r="24" spans="1:80" ht="33" x14ac:dyDescent="0.2">
      <c r="A24" s="57">
        <v>14</v>
      </c>
      <c r="B24" s="57" t="s">
        <v>261</v>
      </c>
      <c r="C24" s="57" t="s">
        <v>262</v>
      </c>
      <c r="D24" s="57" t="s">
        <v>119</v>
      </c>
      <c r="E24" s="57" t="s">
        <v>61</v>
      </c>
      <c r="F24" s="58">
        <v>1</v>
      </c>
      <c r="G24" s="61">
        <v>46218</v>
      </c>
      <c r="H24" s="61">
        <v>46218</v>
      </c>
      <c r="I24" s="144">
        <f t="shared" ref="I24:I29" si="7">IF(OR(ISBLANK(G24),ISBLANK(H24)),"",H24-G24+1)</f>
        <v>1</v>
      </c>
      <c r="J24" s="61">
        <v>46218</v>
      </c>
      <c r="K24" s="61">
        <v>46218</v>
      </c>
      <c r="L24" s="144">
        <v>1</v>
      </c>
      <c r="M24" s="104"/>
      <c r="N24" s="104"/>
      <c r="O24" s="104"/>
      <c r="P24" s="258"/>
      <c r="Q24" s="258"/>
      <c r="R24" s="104"/>
      <c r="S24" s="104"/>
      <c r="T24" s="104" t="s">
        <v>30</v>
      </c>
      <c r="U24" s="104"/>
      <c r="V24" s="104"/>
      <c r="W24" s="57"/>
      <c r="X24" s="57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</row>
    <row r="25" spans="1:80" x14ac:dyDescent="0.2">
      <c r="A25" s="60">
        <v>15</v>
      </c>
      <c r="B25" s="60" t="s">
        <v>263</v>
      </c>
      <c r="C25" s="60" t="s">
        <v>264</v>
      </c>
      <c r="D25" s="53" t="s">
        <v>124</v>
      </c>
      <c r="E25" s="53" t="s">
        <v>107</v>
      </c>
      <c r="F25" s="82">
        <v>1</v>
      </c>
      <c r="G25" s="79">
        <v>46218</v>
      </c>
      <c r="H25" s="79">
        <v>46218</v>
      </c>
      <c r="I25" s="146">
        <f t="shared" si="7"/>
        <v>1</v>
      </c>
      <c r="J25" s="79">
        <v>46218</v>
      </c>
      <c r="K25" s="79">
        <v>46218</v>
      </c>
      <c r="L25" s="146">
        <v>1</v>
      </c>
      <c r="M25" s="199"/>
      <c r="N25" s="199"/>
      <c r="O25" s="257"/>
      <c r="P25" s="255"/>
      <c r="Q25" s="255"/>
      <c r="R25" s="257"/>
      <c r="S25" s="257"/>
      <c r="T25" s="257" t="s">
        <v>30</v>
      </c>
      <c r="U25" s="257"/>
      <c r="V25" s="257"/>
      <c r="W25" s="78"/>
      <c r="X25" s="78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</row>
    <row r="26" spans="1:80" ht="33" x14ac:dyDescent="0.2">
      <c r="A26" s="60">
        <v>16</v>
      </c>
      <c r="B26" s="60" t="s">
        <v>416</v>
      </c>
      <c r="C26" s="60" t="s">
        <v>265</v>
      </c>
      <c r="D26" s="53" t="s">
        <v>119</v>
      </c>
      <c r="E26" s="53" t="s">
        <v>61</v>
      </c>
      <c r="F26" s="82">
        <v>1</v>
      </c>
      <c r="G26" s="79">
        <v>46219</v>
      </c>
      <c r="H26" s="79">
        <v>46219</v>
      </c>
      <c r="I26" s="146">
        <f t="shared" si="7"/>
        <v>1</v>
      </c>
      <c r="J26" s="79">
        <v>46219</v>
      </c>
      <c r="K26" s="79">
        <v>46219</v>
      </c>
      <c r="L26" s="146">
        <v>1</v>
      </c>
      <c r="M26" s="199"/>
      <c r="N26" s="199"/>
      <c r="O26" s="199"/>
      <c r="P26" s="255"/>
      <c r="Q26" s="255"/>
      <c r="R26" s="199"/>
      <c r="S26" s="199"/>
      <c r="T26" s="199"/>
      <c r="U26" s="199" t="s">
        <v>30</v>
      </c>
      <c r="V26" s="257"/>
      <c r="W26" s="10" t="s">
        <v>3</v>
      </c>
      <c r="X26" s="78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</row>
    <row r="27" spans="1:80" ht="33" x14ac:dyDescent="0.2">
      <c r="A27" s="60">
        <v>17</v>
      </c>
      <c r="B27" s="60" t="s">
        <v>416</v>
      </c>
      <c r="C27" s="60" t="s">
        <v>266</v>
      </c>
      <c r="D27" s="53" t="s">
        <v>124</v>
      </c>
      <c r="E27" s="53" t="s">
        <v>107</v>
      </c>
      <c r="F27" s="82">
        <v>1</v>
      </c>
      <c r="G27" s="79">
        <v>46219</v>
      </c>
      <c r="H27" s="79">
        <v>46219</v>
      </c>
      <c r="I27" s="146">
        <f t="shared" si="7"/>
        <v>1</v>
      </c>
      <c r="J27" s="79">
        <v>46219</v>
      </c>
      <c r="K27" s="79">
        <v>46219</v>
      </c>
      <c r="L27" s="146">
        <v>1</v>
      </c>
      <c r="M27" s="199"/>
      <c r="N27" s="199"/>
      <c r="O27" s="199"/>
      <c r="P27" s="255"/>
      <c r="Q27" s="255"/>
      <c r="R27" s="199"/>
      <c r="S27" s="199"/>
      <c r="T27" s="199"/>
      <c r="U27" s="199" t="s">
        <v>30</v>
      </c>
      <c r="V27" s="199"/>
      <c r="W27" s="88" t="s">
        <v>4</v>
      </c>
      <c r="X27" s="78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</row>
    <row r="28" spans="1:80" ht="33" x14ac:dyDescent="0.2">
      <c r="A28" s="246" t="s">
        <v>193</v>
      </c>
      <c r="B28" s="246" t="s">
        <v>267</v>
      </c>
      <c r="C28" s="246" t="s">
        <v>268</v>
      </c>
      <c r="D28" s="246" t="s">
        <v>103</v>
      </c>
      <c r="E28" s="246" t="s">
        <v>98</v>
      </c>
      <c r="F28" s="247">
        <v>1</v>
      </c>
      <c r="G28" s="248">
        <v>46211</v>
      </c>
      <c r="H28" s="248">
        <v>46220</v>
      </c>
      <c r="I28" s="249">
        <f t="shared" si="7"/>
        <v>10</v>
      </c>
      <c r="J28" s="248">
        <v>46211</v>
      </c>
      <c r="K28" s="248">
        <v>46220</v>
      </c>
      <c r="L28" s="249">
        <v>8</v>
      </c>
      <c r="M28" s="198"/>
      <c r="N28" s="198"/>
      <c r="O28" s="198"/>
      <c r="P28" s="253"/>
      <c r="Q28" s="253"/>
      <c r="R28" s="198"/>
      <c r="S28" s="198"/>
      <c r="T28" s="198"/>
      <c r="U28" s="198"/>
      <c r="V28" s="198"/>
      <c r="W28" s="78"/>
      <c r="X28" s="88" t="s">
        <v>4</v>
      </c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</row>
    <row r="29" spans="1:80" ht="33" x14ac:dyDescent="0.2">
      <c r="A29" s="60">
        <v>18</v>
      </c>
      <c r="B29" s="60" t="s">
        <v>269</v>
      </c>
      <c r="C29" s="60" t="s">
        <v>270</v>
      </c>
      <c r="D29" s="53" t="s">
        <v>103</v>
      </c>
      <c r="E29" s="53" t="s">
        <v>271</v>
      </c>
      <c r="F29" s="82">
        <v>1</v>
      </c>
      <c r="G29" s="79">
        <v>46211</v>
      </c>
      <c r="H29" s="79">
        <v>46219</v>
      </c>
      <c r="I29" s="146">
        <f t="shared" si="7"/>
        <v>9</v>
      </c>
      <c r="J29" s="79">
        <v>46211</v>
      </c>
      <c r="K29" s="79">
        <v>46219</v>
      </c>
      <c r="L29" s="146">
        <v>7</v>
      </c>
      <c r="M29" s="199" t="s">
        <v>30</v>
      </c>
      <c r="N29" s="199" t="s">
        <v>30</v>
      </c>
      <c r="O29" s="199" t="s">
        <v>30</v>
      </c>
      <c r="P29" s="255"/>
      <c r="Q29" s="255"/>
      <c r="R29" s="199" t="s">
        <v>30</v>
      </c>
      <c r="S29" s="199" t="s">
        <v>30</v>
      </c>
      <c r="T29" s="199" t="s">
        <v>30</v>
      </c>
      <c r="U29" s="199" t="s">
        <v>30</v>
      </c>
      <c r="V29" s="199"/>
      <c r="W29" s="10" t="s">
        <v>3</v>
      </c>
      <c r="X29" s="10" t="s">
        <v>3</v>
      </c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</row>
    <row r="30" spans="1:80" ht="33" x14ac:dyDescent="0.2">
      <c r="A30" s="63">
        <v>19</v>
      </c>
      <c r="B30" s="63" t="s">
        <v>272</v>
      </c>
      <c r="C30" s="64" t="s">
        <v>273</v>
      </c>
      <c r="D30" s="68" t="s">
        <v>103</v>
      </c>
      <c r="E30" s="68" t="s">
        <v>274</v>
      </c>
      <c r="F30" s="89">
        <v>1</v>
      </c>
      <c r="G30" s="90">
        <v>46219</v>
      </c>
      <c r="H30" s="90">
        <v>46220</v>
      </c>
      <c r="I30" s="329">
        <v>2</v>
      </c>
      <c r="J30" s="90">
        <v>46219</v>
      </c>
      <c r="K30" s="90">
        <v>46220</v>
      </c>
      <c r="L30" s="329">
        <v>2</v>
      </c>
      <c r="M30" s="259"/>
      <c r="N30" s="259"/>
      <c r="O30" s="259"/>
      <c r="P30" s="260"/>
      <c r="Q30" s="260"/>
      <c r="R30" s="259"/>
      <c r="S30" s="259"/>
      <c r="T30" s="259"/>
      <c r="U30" s="259" t="s">
        <v>30</v>
      </c>
      <c r="V30" s="259" t="s">
        <v>30</v>
      </c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</row>
    <row r="31" spans="1:80" ht="33" x14ac:dyDescent="0.2">
      <c r="A31" s="262">
        <v>20</v>
      </c>
      <c r="B31" s="262" t="s">
        <v>275</v>
      </c>
      <c r="C31" s="263" t="s">
        <v>276</v>
      </c>
      <c r="D31" s="263" t="s">
        <v>124</v>
      </c>
      <c r="E31" s="263" t="s">
        <v>107</v>
      </c>
      <c r="F31" s="261">
        <v>1</v>
      </c>
      <c r="G31" s="90">
        <v>46220</v>
      </c>
      <c r="H31" s="90">
        <v>46220</v>
      </c>
      <c r="I31" s="329">
        <v>1</v>
      </c>
      <c r="J31" s="90">
        <v>46220</v>
      </c>
      <c r="K31" s="90">
        <v>46220</v>
      </c>
      <c r="L31" s="329">
        <v>1</v>
      </c>
      <c r="M31" s="259"/>
      <c r="N31" s="259"/>
      <c r="O31" s="259"/>
      <c r="P31" s="260"/>
      <c r="Q31" s="260"/>
      <c r="R31" s="259"/>
      <c r="S31" s="259"/>
      <c r="T31" s="259"/>
      <c r="U31" s="259"/>
      <c r="V31" s="259" t="s">
        <v>4</v>
      </c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</row>
    <row r="32" spans="1:80" ht="33" x14ac:dyDescent="0.2">
      <c r="A32" s="264">
        <v>21</v>
      </c>
      <c r="B32" s="265" t="s">
        <v>277</v>
      </c>
      <c r="C32" s="266" t="s">
        <v>278</v>
      </c>
      <c r="D32" s="68" t="s">
        <v>107</v>
      </c>
      <c r="E32" s="68" t="s">
        <v>279</v>
      </c>
      <c r="F32" s="89">
        <v>1</v>
      </c>
      <c r="G32" s="90">
        <v>46219</v>
      </c>
      <c r="H32" s="90">
        <v>46220</v>
      </c>
      <c r="I32" s="329">
        <v>2</v>
      </c>
      <c r="J32" s="90">
        <v>46219</v>
      </c>
      <c r="K32" s="90">
        <v>46220</v>
      </c>
      <c r="L32" s="329">
        <v>2</v>
      </c>
      <c r="M32" s="259"/>
      <c r="N32" s="259"/>
      <c r="O32" s="259"/>
      <c r="P32" s="260"/>
      <c r="Q32" s="260"/>
      <c r="R32" s="259"/>
      <c r="S32" s="259"/>
      <c r="T32" s="259"/>
      <c r="U32" s="259" t="s">
        <v>30</v>
      </c>
      <c r="V32" s="259" t="s">
        <v>30</v>
      </c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</row>
    <row r="33" spans="1:66" ht="33" x14ac:dyDescent="0.2">
      <c r="A33" s="141">
        <v>22</v>
      </c>
      <c r="B33" s="136" t="s">
        <v>280</v>
      </c>
      <c r="C33" s="137" t="s">
        <v>281</v>
      </c>
      <c r="D33" s="68" t="s">
        <v>107</v>
      </c>
      <c r="E33" s="68" t="s">
        <v>61</v>
      </c>
      <c r="F33" s="89">
        <v>1</v>
      </c>
      <c r="G33" s="90">
        <v>46219</v>
      </c>
      <c r="H33" s="90">
        <v>46220</v>
      </c>
      <c r="I33" s="329">
        <v>2</v>
      </c>
      <c r="J33" s="90">
        <v>46219</v>
      </c>
      <c r="K33" s="90">
        <v>46220</v>
      </c>
      <c r="L33" s="329">
        <v>2</v>
      </c>
      <c r="M33" s="259"/>
      <c r="N33" s="259"/>
      <c r="O33" s="259"/>
      <c r="P33" s="260"/>
      <c r="Q33" s="260"/>
      <c r="R33" s="259"/>
      <c r="S33" s="259"/>
      <c r="T33" s="259"/>
      <c r="U33" s="259" t="s">
        <v>30</v>
      </c>
      <c r="V33" s="259" t="s">
        <v>30</v>
      </c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</row>
    <row r="34" spans="1:66" ht="33" x14ac:dyDescent="0.2">
      <c r="A34" s="142">
        <v>23</v>
      </c>
      <c r="B34" s="65" t="s">
        <v>282</v>
      </c>
      <c r="C34" s="138" t="s">
        <v>283</v>
      </c>
      <c r="D34" s="68" t="s">
        <v>61</v>
      </c>
      <c r="E34" s="68" t="s">
        <v>98</v>
      </c>
      <c r="F34" s="89">
        <v>1</v>
      </c>
      <c r="G34" s="91">
        <v>46220</v>
      </c>
      <c r="H34" s="91">
        <v>46220</v>
      </c>
      <c r="I34" s="330">
        <v>1</v>
      </c>
      <c r="J34" s="90">
        <v>46220</v>
      </c>
      <c r="K34" s="90">
        <v>46220</v>
      </c>
      <c r="L34" s="329">
        <v>1</v>
      </c>
      <c r="M34" s="259"/>
      <c r="N34" s="259"/>
      <c r="O34" s="259"/>
      <c r="P34" s="260"/>
      <c r="Q34" s="260"/>
      <c r="R34" s="259"/>
      <c r="S34" s="259"/>
      <c r="T34" s="259"/>
      <c r="U34" s="259"/>
      <c r="V34" s="259" t="s">
        <v>30</v>
      </c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</row>
    <row r="35" spans="1:66" x14ac:dyDescent="0.2">
      <c r="A35" s="142"/>
      <c r="B35" s="63"/>
      <c r="C35" s="138"/>
      <c r="D35" s="68"/>
      <c r="E35" s="68"/>
      <c r="F35" s="89"/>
      <c r="G35" s="90"/>
      <c r="H35" s="90"/>
      <c r="I35" s="64"/>
      <c r="J35" s="90"/>
      <c r="K35" s="90"/>
      <c r="L35" s="64"/>
      <c r="M35" s="259"/>
      <c r="N35" s="259"/>
      <c r="O35" s="259"/>
      <c r="P35" s="260"/>
      <c r="Q35" s="260"/>
      <c r="R35" s="259"/>
      <c r="S35" s="259"/>
      <c r="T35" s="259"/>
      <c r="U35" s="259"/>
      <c r="V35" s="259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</row>
    <row r="36" spans="1:66" ht="66" x14ac:dyDescent="0.2">
      <c r="A36" s="143" t="s">
        <v>284</v>
      </c>
      <c r="B36" s="66"/>
      <c r="C36" s="138"/>
      <c r="D36" s="68"/>
      <c r="E36" s="68"/>
      <c r="F36" s="89"/>
      <c r="G36" s="91"/>
      <c r="H36" s="91"/>
      <c r="I36" s="92"/>
      <c r="J36" s="90"/>
      <c r="K36" s="90"/>
      <c r="L36" s="64"/>
      <c r="M36" s="259"/>
      <c r="N36" s="259"/>
      <c r="O36" s="259"/>
      <c r="P36" s="260"/>
      <c r="Q36" s="260"/>
      <c r="R36" s="259"/>
      <c r="S36" s="259"/>
      <c r="T36" s="259"/>
      <c r="U36" s="259"/>
      <c r="V36" s="259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</row>
    <row r="37" spans="1:66" x14ac:dyDescent="0.2">
      <c r="A37" s="267" t="s">
        <v>30</v>
      </c>
      <c r="B37" s="139" t="s">
        <v>285</v>
      </c>
      <c r="C37" s="140"/>
      <c r="D37" s="68"/>
      <c r="E37" s="68"/>
      <c r="F37" s="89"/>
      <c r="G37" s="90"/>
      <c r="H37" s="90"/>
      <c r="I37" s="64"/>
      <c r="J37" s="90"/>
      <c r="K37" s="90"/>
      <c r="L37" s="64"/>
      <c r="M37" s="259"/>
      <c r="N37" s="259"/>
      <c r="O37" s="259"/>
      <c r="P37" s="260"/>
      <c r="Q37" s="260"/>
      <c r="R37" s="259"/>
      <c r="S37" s="259"/>
      <c r="T37" s="259"/>
      <c r="U37" s="259"/>
      <c r="V37" s="259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</row>
    <row r="38" spans="1:66" x14ac:dyDescent="0.2">
      <c r="A38" s="63" t="s">
        <v>4</v>
      </c>
      <c r="B38" s="63" t="s">
        <v>199</v>
      </c>
      <c r="C38" s="64"/>
      <c r="D38" s="68"/>
      <c r="E38" s="68"/>
      <c r="F38" s="89"/>
      <c r="G38" s="90"/>
      <c r="H38" s="90"/>
      <c r="I38" s="64"/>
      <c r="J38" s="90"/>
      <c r="K38" s="90"/>
      <c r="L38" s="64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</row>
    <row r="39" spans="1:66" ht="33" x14ac:dyDescent="0.2">
      <c r="A39" s="63" t="s">
        <v>286</v>
      </c>
      <c r="B39" s="63" t="s">
        <v>287</v>
      </c>
      <c r="C39" s="64"/>
      <c r="D39" s="68"/>
      <c r="E39" s="68"/>
      <c r="F39" s="89"/>
      <c r="G39" s="90"/>
      <c r="H39" s="90"/>
      <c r="I39" s="64"/>
      <c r="J39" s="90"/>
      <c r="K39" s="90"/>
      <c r="L39" s="64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</row>
    <row r="40" spans="1:66" ht="66" x14ac:dyDescent="0.2">
      <c r="A40" s="63" t="s">
        <v>288</v>
      </c>
      <c r="B40" s="63" t="s">
        <v>289</v>
      </c>
      <c r="C40" s="64"/>
      <c r="D40" s="68"/>
      <c r="E40" s="68"/>
      <c r="F40" s="89"/>
      <c r="G40" s="90"/>
      <c r="H40" s="90"/>
      <c r="I40" s="64"/>
      <c r="J40" s="90"/>
      <c r="K40" s="90"/>
      <c r="L40" s="64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</row>
    <row r="41" spans="1:66" x14ac:dyDescent="0.2">
      <c r="A41" s="63"/>
      <c r="B41" s="63"/>
      <c r="C41" s="64"/>
      <c r="D41" s="68"/>
      <c r="E41" s="68"/>
      <c r="F41" s="89"/>
      <c r="G41" s="90"/>
      <c r="H41" s="90"/>
      <c r="I41" s="64"/>
      <c r="J41" s="90"/>
      <c r="K41" s="90"/>
      <c r="L41" s="64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</row>
    <row r="42" spans="1:66" x14ac:dyDescent="0.2">
      <c r="A42" s="63"/>
      <c r="B42" s="63"/>
      <c r="C42" s="64"/>
      <c r="D42" s="68"/>
      <c r="E42" s="68"/>
      <c r="F42" s="89"/>
      <c r="G42" s="93"/>
      <c r="H42" s="93"/>
      <c r="I42" s="64"/>
      <c r="J42" s="90"/>
      <c r="K42" s="90"/>
      <c r="L42" s="64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</row>
    <row r="43" spans="1:66" ht="17.25" x14ac:dyDescent="0.2">
      <c r="A43" s="63"/>
      <c r="B43" s="63"/>
      <c r="C43" s="64"/>
      <c r="D43" s="68"/>
      <c r="E43" s="68"/>
      <c r="F43" s="89"/>
      <c r="G43" s="91"/>
      <c r="H43" s="91"/>
      <c r="I43" s="92"/>
      <c r="J43" s="90"/>
      <c r="K43" s="90"/>
      <c r="L43" s="64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</row>
    <row r="44" spans="1:66" x14ac:dyDescent="0.2">
      <c r="A44" s="63"/>
      <c r="B44" s="63"/>
      <c r="C44" s="64"/>
      <c r="D44" s="68"/>
      <c r="E44" s="68"/>
      <c r="F44" s="89"/>
      <c r="G44" s="90"/>
      <c r="H44" s="90"/>
      <c r="I44" s="64"/>
      <c r="J44" s="90"/>
      <c r="K44" s="90"/>
      <c r="L44" s="64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</row>
    <row r="45" spans="1:66" x14ac:dyDescent="0.2">
      <c r="A45" s="63"/>
      <c r="B45" s="63"/>
      <c r="C45" s="64"/>
      <c r="D45" s="68"/>
      <c r="E45" s="68"/>
      <c r="F45" s="89"/>
      <c r="G45" s="90"/>
      <c r="H45" s="90"/>
      <c r="I45" s="64"/>
      <c r="J45" s="90"/>
      <c r="K45" s="90"/>
      <c r="L45" s="64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</row>
    <row r="46" spans="1:66" x14ac:dyDescent="0.2">
      <c r="A46" s="63"/>
      <c r="B46" s="63"/>
      <c r="C46" s="64"/>
      <c r="D46" s="68"/>
      <c r="E46" s="68"/>
      <c r="F46" s="89"/>
      <c r="G46" s="90"/>
      <c r="H46" s="90"/>
      <c r="I46" s="64"/>
      <c r="J46" s="90"/>
      <c r="K46" s="90"/>
      <c r="L46" s="64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</row>
    <row r="47" spans="1:66" x14ac:dyDescent="0.2">
      <c r="A47" s="63"/>
      <c r="B47" s="63"/>
      <c r="C47" s="64"/>
      <c r="D47" s="68"/>
      <c r="E47" s="68"/>
      <c r="F47" s="89"/>
      <c r="G47" s="90"/>
      <c r="H47" s="90"/>
      <c r="I47" s="64"/>
      <c r="J47" s="90"/>
      <c r="K47" s="90"/>
      <c r="L47" s="64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</row>
    <row r="48" spans="1:66" x14ac:dyDescent="0.2">
      <c r="A48" s="66"/>
      <c r="B48" s="66"/>
      <c r="C48" s="67"/>
      <c r="D48" s="68"/>
      <c r="E48" s="68"/>
      <c r="F48" s="89"/>
      <c r="G48" s="90"/>
      <c r="H48" s="90"/>
      <c r="I48" s="64"/>
      <c r="J48" s="90"/>
      <c r="K48" s="90"/>
      <c r="L48" s="64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</row>
    <row r="49" spans="1:66" x14ac:dyDescent="0.2">
      <c r="A49" s="63"/>
      <c r="B49" s="63"/>
      <c r="C49" s="67"/>
      <c r="D49" s="68"/>
      <c r="E49" s="68"/>
      <c r="F49" s="89"/>
      <c r="G49" s="90"/>
      <c r="H49" s="90"/>
      <c r="I49" s="64"/>
      <c r="J49" s="90"/>
      <c r="K49" s="90"/>
      <c r="L49" s="64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</row>
    <row r="50" spans="1:66" x14ac:dyDescent="0.2">
      <c r="A50" s="63"/>
      <c r="B50" s="63"/>
      <c r="C50" s="67"/>
      <c r="D50" s="68"/>
      <c r="E50" s="68"/>
      <c r="F50" s="89"/>
      <c r="G50" s="90"/>
      <c r="H50" s="90"/>
      <c r="I50" s="64"/>
      <c r="J50" s="90"/>
      <c r="K50" s="90"/>
      <c r="L50" s="64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</row>
    <row r="51" spans="1:66" x14ac:dyDescent="0.2">
      <c r="A51" s="63"/>
      <c r="B51" s="63"/>
      <c r="C51" s="67"/>
      <c r="D51" s="68"/>
      <c r="E51" s="68"/>
      <c r="F51" s="89"/>
      <c r="G51" s="90"/>
      <c r="H51" s="90"/>
      <c r="I51" s="64"/>
      <c r="J51" s="90"/>
      <c r="K51" s="90"/>
      <c r="L51" s="64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</row>
    <row r="52" spans="1:66" x14ac:dyDescent="0.2">
      <c r="A52" s="63"/>
      <c r="B52" s="63"/>
      <c r="C52" s="67"/>
      <c r="D52" s="68"/>
      <c r="E52" s="68"/>
      <c r="F52" s="89"/>
      <c r="G52" s="90"/>
      <c r="H52" s="90"/>
      <c r="I52" s="64"/>
      <c r="J52" s="90"/>
      <c r="K52" s="90"/>
      <c r="L52" s="64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</row>
    <row r="53" spans="1:66" x14ac:dyDescent="0.2">
      <c r="A53" s="68"/>
      <c r="B53" s="66"/>
      <c r="C53" s="67"/>
      <c r="D53" s="68"/>
      <c r="E53" s="68"/>
      <c r="F53" s="94"/>
      <c r="G53" s="93"/>
      <c r="H53" s="93"/>
      <c r="I53" s="68"/>
      <c r="J53" s="90"/>
      <c r="K53" s="90"/>
      <c r="L53" s="64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</row>
    <row r="54" spans="1:66" x14ac:dyDescent="0.2">
      <c r="A54" s="64"/>
      <c r="B54" s="63"/>
      <c r="C54" s="67"/>
      <c r="D54" s="68"/>
      <c r="E54" s="68"/>
      <c r="F54" s="89"/>
      <c r="G54" s="90"/>
      <c r="H54" s="90"/>
      <c r="I54" s="64"/>
      <c r="J54" s="90"/>
      <c r="K54" s="90"/>
      <c r="L54" s="64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</row>
    <row r="55" spans="1:66" x14ac:dyDescent="0.2">
      <c r="A55" s="64"/>
      <c r="B55" s="63"/>
      <c r="C55" s="67"/>
      <c r="D55" s="68"/>
      <c r="E55" s="68"/>
      <c r="F55" s="89"/>
      <c r="G55" s="90"/>
      <c r="H55" s="90"/>
      <c r="I55" s="64"/>
      <c r="J55" s="90"/>
      <c r="K55" s="90"/>
      <c r="L55" s="64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</row>
    <row r="56" spans="1:66" x14ac:dyDescent="0.2">
      <c r="A56" s="95"/>
      <c r="B56" s="95"/>
      <c r="C56" s="173"/>
      <c r="D56" s="95"/>
      <c r="E56" s="95"/>
      <c r="F56" s="96"/>
      <c r="G56" s="97"/>
      <c r="H56" s="97"/>
      <c r="I56" s="98"/>
      <c r="J56" s="99"/>
      <c r="K56" s="99"/>
      <c r="L56" s="98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</row>
    <row r="57" spans="1:66" x14ac:dyDescent="0.2">
      <c r="A57" s="68"/>
      <c r="B57" s="68"/>
      <c r="C57" s="64"/>
      <c r="D57" s="68"/>
      <c r="E57" s="68"/>
      <c r="F57" s="89"/>
      <c r="G57" s="93"/>
      <c r="H57" s="93"/>
      <c r="I57" s="68"/>
      <c r="J57" s="90"/>
      <c r="K57" s="90"/>
      <c r="L57" s="64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</row>
    <row r="58" spans="1:66" x14ac:dyDescent="0.2">
      <c r="A58" s="68"/>
      <c r="B58" s="68"/>
      <c r="C58" s="64"/>
      <c r="D58" s="68"/>
      <c r="E58" s="68"/>
      <c r="F58" s="89"/>
      <c r="G58" s="93"/>
      <c r="H58" s="93"/>
      <c r="I58" s="68"/>
      <c r="J58" s="90"/>
      <c r="K58" s="90"/>
      <c r="L58" s="64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</row>
    <row r="59" spans="1:66" x14ac:dyDescent="0.2">
      <c r="A59" s="64"/>
      <c r="B59" s="64"/>
      <c r="C59" s="64"/>
      <c r="D59" s="68"/>
      <c r="E59" s="68"/>
      <c r="F59" s="89"/>
      <c r="G59" s="90"/>
      <c r="H59" s="90"/>
      <c r="I59" s="64"/>
      <c r="J59" s="90"/>
      <c r="K59" s="90"/>
      <c r="L59" s="64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</row>
    <row r="60" spans="1:66" x14ac:dyDescent="0.2">
      <c r="A60" s="64"/>
      <c r="B60" s="64"/>
      <c r="C60" s="64"/>
      <c r="D60" s="68"/>
      <c r="E60" s="68"/>
      <c r="F60" s="89"/>
      <c r="G60" s="90"/>
      <c r="H60" s="90"/>
      <c r="I60" s="64"/>
      <c r="J60" s="90"/>
      <c r="K60" s="90"/>
      <c r="L60" s="64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</row>
    <row r="61" spans="1:66" x14ac:dyDescent="0.2">
      <c r="A61" s="64"/>
      <c r="B61" s="64"/>
      <c r="C61" s="64"/>
      <c r="D61" s="68"/>
      <c r="E61" s="68"/>
      <c r="F61" s="89"/>
      <c r="G61" s="90"/>
      <c r="H61" s="90"/>
      <c r="I61" s="64"/>
      <c r="J61" s="90"/>
      <c r="K61" s="90"/>
      <c r="L61" s="64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</row>
    <row r="62" spans="1:66" x14ac:dyDescent="0.2">
      <c r="A62" s="64"/>
      <c r="B62" s="64"/>
      <c r="C62" s="64"/>
      <c r="D62" s="68"/>
      <c r="E62" s="68"/>
      <c r="F62" s="89"/>
      <c r="G62" s="90"/>
      <c r="H62" s="90"/>
      <c r="I62" s="64"/>
      <c r="J62" s="90"/>
      <c r="K62" s="90"/>
      <c r="L62" s="64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</row>
    <row r="63" spans="1:66" x14ac:dyDescent="0.2">
      <c r="A63" s="68"/>
      <c r="B63" s="68"/>
      <c r="C63" s="64"/>
      <c r="D63" s="68"/>
      <c r="E63" s="68"/>
      <c r="F63" s="89"/>
      <c r="G63" s="93"/>
      <c r="H63" s="93"/>
      <c r="I63" s="68"/>
      <c r="J63" s="90"/>
      <c r="K63" s="90"/>
      <c r="L63" s="64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</row>
    <row r="64" spans="1:66" x14ac:dyDescent="0.2">
      <c r="A64" s="64"/>
      <c r="B64" s="64"/>
      <c r="C64" s="64"/>
      <c r="D64" s="68"/>
      <c r="E64" s="68"/>
      <c r="F64" s="89"/>
      <c r="G64" s="90"/>
      <c r="H64" s="90"/>
      <c r="I64" s="64"/>
      <c r="J64" s="90"/>
      <c r="K64" s="90"/>
      <c r="L64" s="64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</row>
    <row r="65" spans="1:66" x14ac:dyDescent="0.2">
      <c r="A65" s="64"/>
      <c r="B65" s="64"/>
      <c r="C65" s="64"/>
      <c r="D65" s="68"/>
      <c r="E65" s="68"/>
      <c r="F65" s="89"/>
      <c r="G65" s="90"/>
      <c r="H65" s="90"/>
      <c r="I65" s="64"/>
      <c r="J65" s="90"/>
      <c r="K65" s="90"/>
      <c r="L65" s="64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</row>
    <row r="66" spans="1:66" x14ac:dyDescent="0.2">
      <c r="A66" s="64"/>
      <c r="B66" s="64"/>
      <c r="C66" s="64"/>
      <c r="D66" s="68"/>
      <c r="E66" s="68"/>
      <c r="F66" s="89"/>
      <c r="G66" s="90"/>
      <c r="H66" s="90"/>
      <c r="I66" s="64"/>
      <c r="J66" s="90"/>
      <c r="K66" s="90"/>
      <c r="L66" s="64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</row>
    <row r="67" spans="1:66" x14ac:dyDescent="0.2">
      <c r="A67" s="68"/>
      <c r="B67" s="66"/>
      <c r="C67" s="67"/>
      <c r="D67" s="68"/>
      <c r="E67" s="68"/>
      <c r="F67" s="89"/>
      <c r="G67" s="93"/>
      <c r="H67" s="93"/>
      <c r="I67" s="68"/>
      <c r="J67" s="90"/>
      <c r="K67" s="90"/>
      <c r="L67" s="64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</row>
    <row r="68" spans="1:66" x14ac:dyDescent="0.2">
      <c r="A68" s="68"/>
      <c r="B68" s="66"/>
      <c r="C68" s="67"/>
      <c r="D68" s="68"/>
      <c r="E68" s="68"/>
      <c r="F68" s="89"/>
      <c r="G68" s="93"/>
      <c r="H68" s="93"/>
      <c r="I68" s="68"/>
      <c r="J68" s="90"/>
      <c r="K68" s="90"/>
      <c r="L68" s="64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</row>
    <row r="69" spans="1:66" x14ac:dyDescent="0.2">
      <c r="A69" s="95"/>
      <c r="B69" s="100"/>
      <c r="C69" s="101"/>
      <c r="D69" s="95"/>
      <c r="E69" s="95"/>
      <c r="F69" s="96"/>
      <c r="G69" s="97"/>
      <c r="H69" s="97"/>
      <c r="I69" s="98"/>
      <c r="J69" s="99"/>
      <c r="K69" s="99"/>
      <c r="L69" s="98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</row>
    <row r="70" spans="1:66" x14ac:dyDescent="0.2">
      <c r="A70" s="68"/>
      <c r="B70" s="68"/>
      <c r="C70" s="64"/>
      <c r="D70" s="68"/>
      <c r="E70" s="68"/>
      <c r="F70" s="89"/>
      <c r="G70" s="90"/>
      <c r="H70" s="90"/>
      <c r="I70" s="64"/>
      <c r="J70" s="90"/>
      <c r="K70" s="90"/>
      <c r="L70" s="64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</row>
    <row r="71" spans="1:66" x14ac:dyDescent="0.2">
      <c r="A71" s="68"/>
      <c r="B71" s="68"/>
      <c r="C71" s="64"/>
      <c r="D71" s="68"/>
      <c r="E71" s="68"/>
      <c r="F71" s="89"/>
      <c r="G71" s="90"/>
      <c r="H71" s="90"/>
      <c r="I71" s="64"/>
      <c r="J71" s="90"/>
      <c r="K71" s="90"/>
      <c r="L71" s="64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</row>
  </sheetData>
  <mergeCells count="6">
    <mergeCell ref="F5:G5"/>
    <mergeCell ref="A1:V1"/>
    <mergeCell ref="A2:E2"/>
    <mergeCell ref="A3:E3"/>
    <mergeCell ref="F3:G3"/>
    <mergeCell ref="F4:G4"/>
  </mergeCells>
  <conditionalFormatting sqref="F9:F34">
    <cfRule type="dataBar" priority="29">
      <dataBar>
        <cfvo type="min"/>
        <cfvo type="max"/>
        <color rgb="FF2E8B57"/>
      </dataBar>
    </cfRule>
    <cfRule type="dataBar" priority="30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{76B1EDFD-A78F-A98C-380B-14411C900892}</x14:id>
        </ext>
      </extLst>
    </cfRule>
  </conditionalFormatting>
  <conditionalFormatting sqref="M10:BB14">
    <cfRule type="expression" dxfId="32" priority="1" stopIfTrue="1">
      <formula>NOT(AND(MAX($K10,$H10)&gt;=M$5,MIN($J10,$G10)&lt;N$5))</formula>
    </cfRule>
    <cfRule type="expression" dxfId="31" priority="2">
      <formula>AND($H10&gt;=M$5,$G10&lt;N$5)</formula>
    </cfRule>
    <cfRule type="expression" dxfId="30" priority="3" stopIfTrue="1">
      <formula>AND($K10&gt;=M$5,$J10&lt;N$5)</formula>
    </cfRule>
  </conditionalFormatting>
  <conditionalFormatting sqref="M16:BB20 M21:BN71">
    <cfRule type="expression" dxfId="29" priority="4">
      <formula>AND(TODAY()&gt;=M$5,TODAY()&lt;N$5)</formula>
    </cfRule>
  </conditionalFormatting>
  <conditionalFormatting sqref="M6:BN9 BO7 BC14:BN14">
    <cfRule type="expression" dxfId="28" priority="5">
      <formula>AND(TODAY()&gt;=M$5,TODAY()&lt;N$5)</formula>
    </cfRule>
  </conditionalFormatting>
  <conditionalFormatting sqref="M8:BN9 BC10:BN12 BC14:BN14 M15:BN15 BC16:BN19 M16:BB47 BC20:CB20 BC21:BN47 M54:BN71">
    <cfRule type="expression" dxfId="27" priority="6">
      <formula>AND($H8&gt;=M$5,$G8&lt;N$5)</formula>
    </cfRule>
    <cfRule type="expression" dxfId="26" priority="7" stopIfTrue="1">
      <formula>AND($K8&gt;=M$5,$J8&lt;N$5)</formula>
    </cfRule>
    <cfRule type="expression" dxfId="25" priority="8" stopIfTrue="1">
      <formula>NOT(AND(MAX($K8,$H8)&gt;=M$5,MIN($J8,$G8)&lt;N$5))</formula>
    </cfRule>
  </conditionalFormatting>
  <conditionalFormatting sqref="M15:BN15">
    <cfRule type="expression" dxfId="24" priority="9">
      <formula>AND(TODAY()&gt;=M$5,TODAY()&lt;N$5)</formula>
    </cfRule>
  </conditionalFormatting>
  <conditionalFormatting sqref="M48:BN53">
    <cfRule type="expression" dxfId="23" priority="10" stopIfTrue="1">
      <formula>NOT(AND(MAX($K48,#REF!)&gt;=M$5,MIN($J48,#REF!)&lt;N$5))</formula>
    </cfRule>
    <cfRule type="expression" dxfId="22" priority="11">
      <formula>AND(#REF!&gt;=M$5,#REF!&lt;N$5)</formula>
    </cfRule>
    <cfRule type="expression" dxfId="21" priority="12" stopIfTrue="1">
      <formula>AND($K48&gt;=M$5,$J48&lt;N$5)</formula>
    </cfRule>
  </conditionalFormatting>
  <conditionalFormatting sqref="BC10:BN12 M10:BB14">
    <cfRule type="expression" dxfId="20" priority="22">
      <formula>AND(TODAY()&gt;=M$5,TODAY()&lt;N$5)</formula>
    </cfRule>
  </conditionalFormatting>
  <conditionalFormatting sqref="BC16:BN19">
    <cfRule type="expression" dxfId="19" priority="23">
      <formula>AND(TODAY()&gt;=BC$5,TODAY()&lt;BD$5)</formula>
    </cfRule>
  </conditionalFormatting>
  <conditionalFormatting sqref="BC13:CB13">
    <cfRule type="expression" dxfId="18" priority="24">
      <formula>AND(TODAY()&gt;=BC$5,TODAY()&lt;BD$5)</formula>
    </cfRule>
    <cfRule type="expression" dxfId="17" priority="25" stopIfTrue="1">
      <formula>NOT(AND(MAX($K13,$H13)&gt;=BC$5,MIN($J13,$G13)&lt;BD$5))</formula>
    </cfRule>
    <cfRule type="expression" dxfId="16" priority="26">
      <formula>AND($H13&gt;=BC$5,$G13&lt;BD$5)</formula>
    </cfRule>
    <cfRule type="expression" dxfId="15" priority="27" stopIfTrue="1">
      <formula>AND($K13&gt;=BC$5,$J13&lt;BD$5)</formula>
    </cfRule>
  </conditionalFormatting>
  <conditionalFormatting sqref="BC20:CB20">
    <cfRule type="expression" dxfId="14" priority="28">
      <formula>AND(TODAY()&gt;=BC$5,TODAY()&lt;BD$5)</formula>
    </cfRule>
  </conditionalFormatting>
  <dataValidations count="1">
    <dataValidation type="list" allowBlank="1" showErrorMessage="1" sqref="G4" xr:uid="{00000000-0002-0000-0400-000000000000}">
      <formula1>"Daily,Weekly,Monthly,Quarterly"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B1EDFD-A78F-A98C-380B-14411C900892}">
            <x14:dataBar>
              <x14:cfvo type="min"/>
              <x14:cfvo type="max"/>
              <x14:negativeFillColor auto="1"/>
              <x14:axisColor auto="1"/>
            </x14:dataBar>
          </x14:cfRule>
          <xm:sqref>F9:F34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5" workbookViewId="0">
      <selection activeCell="E27" sqref="E27"/>
    </sheetView>
  </sheetViews>
  <sheetFormatPr defaultColWidth="12.625" defaultRowHeight="16.5" x14ac:dyDescent="0.2"/>
  <cols>
    <col min="1" max="1" width="14.875" style="176" bestFit="1" customWidth="1"/>
    <col min="2" max="2" width="17.75" style="176" bestFit="1" customWidth="1"/>
    <col min="3" max="3" width="19.625" style="176" bestFit="1" customWidth="1"/>
    <col min="4" max="4" width="62.5" style="176" bestFit="1" customWidth="1"/>
    <col min="5" max="5" width="47" style="176" bestFit="1" customWidth="1"/>
    <col min="6" max="6" width="9.375" style="176" bestFit="1" customWidth="1"/>
    <col min="7" max="7" width="33.125" style="176" bestFit="1" customWidth="1"/>
    <col min="8" max="8" width="25" style="176" bestFit="1" customWidth="1"/>
    <col min="9" max="26" width="9" style="176" customWidth="1"/>
    <col min="27" max="16384" width="12.625" style="176"/>
  </cols>
  <sheetData>
    <row r="1" spans="1:26" ht="20.25" x14ac:dyDescent="0.2">
      <c r="A1" s="363" t="s">
        <v>290</v>
      </c>
      <c r="B1" s="363"/>
      <c r="C1" s="363"/>
      <c r="D1" s="363"/>
      <c r="E1" s="363"/>
      <c r="F1" s="363"/>
      <c r="G1" s="363"/>
      <c r="H1" s="348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33" x14ac:dyDescent="0.2">
      <c r="A2" s="182" t="s">
        <v>152</v>
      </c>
      <c r="B2" s="182" t="s">
        <v>291</v>
      </c>
      <c r="C2" s="182" t="s">
        <v>292</v>
      </c>
      <c r="D2" s="182" t="s">
        <v>293</v>
      </c>
      <c r="E2" s="182" t="s">
        <v>294</v>
      </c>
      <c r="F2" s="182" t="s">
        <v>295</v>
      </c>
      <c r="G2" s="182" t="s">
        <v>296</v>
      </c>
      <c r="H2" s="182" t="s">
        <v>297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33" x14ac:dyDescent="0.2">
      <c r="A3" s="183">
        <v>1</v>
      </c>
      <c r="B3" s="184" t="s">
        <v>61</v>
      </c>
      <c r="C3" s="184" t="s">
        <v>298</v>
      </c>
      <c r="D3" s="184" t="s">
        <v>299</v>
      </c>
      <c r="E3" s="184" t="s">
        <v>300</v>
      </c>
      <c r="F3" s="184">
        <v>8</v>
      </c>
      <c r="G3" s="184" t="s">
        <v>301</v>
      </c>
      <c r="H3" s="185" t="s">
        <v>302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33" x14ac:dyDescent="0.2">
      <c r="A4" s="186">
        <v>2</v>
      </c>
      <c r="B4" s="186" t="s">
        <v>119</v>
      </c>
      <c r="C4" s="186" t="s">
        <v>303</v>
      </c>
      <c r="D4" s="186" t="s">
        <v>304</v>
      </c>
      <c r="E4" s="186" t="s">
        <v>305</v>
      </c>
      <c r="F4" s="187">
        <v>8</v>
      </c>
      <c r="G4" s="188" t="s">
        <v>306</v>
      </c>
      <c r="H4" s="186" t="s">
        <v>307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33" x14ac:dyDescent="0.2">
      <c r="A5" s="186">
        <v>3</v>
      </c>
      <c r="B5" s="186" t="s">
        <v>124</v>
      </c>
      <c r="C5" s="186" t="s">
        <v>308</v>
      </c>
      <c r="D5" s="186" t="s">
        <v>309</v>
      </c>
      <c r="E5" s="186" t="s">
        <v>310</v>
      </c>
      <c r="F5" s="187">
        <v>8</v>
      </c>
      <c r="G5" s="189" t="s">
        <v>311</v>
      </c>
      <c r="H5" s="186" t="s">
        <v>312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33" x14ac:dyDescent="0.2">
      <c r="A6" s="186">
        <v>4</v>
      </c>
      <c r="B6" s="186" t="s">
        <v>103</v>
      </c>
      <c r="C6" s="186" t="s">
        <v>313</v>
      </c>
      <c r="D6" s="186" t="s">
        <v>314</v>
      </c>
      <c r="E6" s="186" t="s">
        <v>315</v>
      </c>
      <c r="F6" s="187">
        <v>8</v>
      </c>
      <c r="G6" s="186" t="s">
        <v>316</v>
      </c>
      <c r="H6" s="186" t="s">
        <v>317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33" x14ac:dyDescent="0.2">
      <c r="A7" s="186">
        <v>5</v>
      </c>
      <c r="B7" s="186" t="s">
        <v>107</v>
      </c>
      <c r="C7" s="186" t="s">
        <v>318</v>
      </c>
      <c r="D7" s="186" t="s">
        <v>319</v>
      </c>
      <c r="E7" s="186" t="s">
        <v>320</v>
      </c>
      <c r="F7" s="187">
        <v>8</v>
      </c>
      <c r="G7" s="186" t="s">
        <v>321</v>
      </c>
      <c r="H7" s="186" t="s">
        <v>322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x14ac:dyDescent="0.2">
      <c r="A8" s="1"/>
      <c r="B8" s="1"/>
      <c r="C8" s="1"/>
      <c r="D8" s="1"/>
      <c r="E8" s="1"/>
      <c r="F8" s="52"/>
      <c r="G8" s="1"/>
      <c r="H8" s="1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33" x14ac:dyDescent="0.2">
      <c r="A9" s="190" t="s">
        <v>323</v>
      </c>
      <c r="B9" s="190"/>
      <c r="C9" s="190"/>
      <c r="D9" s="190"/>
      <c r="E9" s="190"/>
      <c r="F9" s="191">
        <v>40</v>
      </c>
      <c r="G9" s="190"/>
      <c r="H9" s="190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33" x14ac:dyDescent="0.2">
      <c r="A10" s="190" t="s">
        <v>324</v>
      </c>
      <c r="B10" s="190"/>
      <c r="C10" s="190"/>
      <c r="D10" s="190" t="s">
        <v>325</v>
      </c>
      <c r="E10" s="190"/>
      <c r="F10" s="191"/>
      <c r="G10" s="190"/>
      <c r="H10" s="190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33" x14ac:dyDescent="0.2">
      <c r="A11" s="190" t="s">
        <v>326</v>
      </c>
      <c r="B11" s="192"/>
      <c r="C11" s="192"/>
      <c r="D11" s="192" t="s">
        <v>327</v>
      </c>
      <c r="E11" s="192"/>
      <c r="F11" s="192"/>
      <c r="G11" s="192"/>
      <c r="H11" s="193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x14ac:dyDescent="0.2">
      <c r="A12" s="1"/>
      <c r="B12" s="1"/>
      <c r="C12" s="1"/>
      <c r="D12" s="1"/>
      <c r="E12" s="1"/>
      <c r="F12" s="52"/>
      <c r="G12" s="1"/>
      <c r="H12" s="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x14ac:dyDescent="0.2">
      <c r="A13" s="1"/>
      <c r="B13" s="1"/>
      <c r="C13" s="1"/>
      <c r="D13" s="1"/>
      <c r="E13" s="1"/>
      <c r="F13" s="52"/>
      <c r="G13" s="1"/>
      <c r="H13" s="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x14ac:dyDescent="0.2">
      <c r="A14" s="1"/>
      <c r="B14" s="1"/>
      <c r="C14" s="1"/>
      <c r="D14" s="1"/>
      <c r="E14" s="1"/>
      <c r="F14" s="52"/>
      <c r="G14" s="1"/>
      <c r="H14" s="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2">
      <c r="A15" s="1"/>
      <c r="B15" s="1"/>
      <c r="C15" s="1"/>
      <c r="D15" s="1"/>
      <c r="E15" s="1"/>
      <c r="F15" s="52"/>
      <c r="G15" s="1"/>
      <c r="H15" s="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x14ac:dyDescent="0.2">
      <c r="A16" s="1"/>
      <c r="B16" s="1"/>
      <c r="C16" s="1"/>
      <c r="D16" s="1"/>
      <c r="E16" s="1"/>
      <c r="F16" s="52"/>
      <c r="G16" s="52"/>
      <c r="H16" s="52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x14ac:dyDescent="0.2">
      <c r="A17" s="1"/>
      <c r="B17" s="1"/>
      <c r="C17" s="1"/>
      <c r="D17" s="1"/>
      <c r="E17" s="1"/>
      <c r="F17" s="52"/>
      <c r="G17" s="52"/>
      <c r="H17" s="52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x14ac:dyDescent="0.2">
      <c r="A18" s="1"/>
      <c r="B18" s="1"/>
      <c r="C18" s="1"/>
      <c r="D18" s="1"/>
      <c r="E18" s="1"/>
      <c r="F18" s="52"/>
      <c r="G18" s="52"/>
      <c r="H18" s="52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x14ac:dyDescent="0.2">
      <c r="A19" s="1"/>
      <c r="B19" s="1"/>
      <c r="C19" s="1"/>
      <c r="D19" s="1"/>
      <c r="E19" s="1"/>
      <c r="F19" s="52"/>
      <c r="G19" s="52"/>
      <c r="H19" s="52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x14ac:dyDescent="0.2">
      <c r="A20" s="49"/>
      <c r="B20" s="49"/>
      <c r="C20" s="49"/>
      <c r="D20" s="49"/>
      <c r="E20" s="49"/>
      <c r="F20" s="54"/>
      <c r="G20" s="54"/>
      <c r="H20" s="54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x14ac:dyDescent="0.2">
      <c r="A21" s="49"/>
      <c r="B21" s="49"/>
      <c r="C21" s="49"/>
      <c r="D21" s="49"/>
      <c r="E21" s="49"/>
      <c r="F21" s="54"/>
      <c r="G21" s="54"/>
      <c r="H21" s="54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x14ac:dyDescent="0.2">
      <c r="A22" s="49"/>
      <c r="B22" s="49"/>
      <c r="C22" s="49"/>
      <c r="D22" s="49"/>
      <c r="E22" s="49"/>
      <c r="F22" s="54"/>
      <c r="G22" s="54"/>
      <c r="H22" s="54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x14ac:dyDescent="0.2">
      <c r="A23" s="49"/>
      <c r="B23" s="49"/>
      <c r="C23" s="49"/>
      <c r="D23" s="49"/>
      <c r="E23" s="49"/>
      <c r="F23" s="54"/>
      <c r="G23" s="54"/>
      <c r="H23" s="54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x14ac:dyDescent="0.2">
      <c r="A24" s="49"/>
      <c r="B24" s="49"/>
      <c r="C24" s="49"/>
      <c r="D24" s="49"/>
      <c r="E24" s="49"/>
      <c r="F24" s="54"/>
      <c r="G24" s="54"/>
      <c r="H24" s="54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x14ac:dyDescent="0.2">
      <c r="A25" s="49"/>
      <c r="B25" s="49"/>
      <c r="C25" s="49"/>
      <c r="D25" s="49"/>
      <c r="E25" s="49"/>
      <c r="F25" s="54"/>
      <c r="G25" s="54"/>
      <c r="H25" s="54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x14ac:dyDescent="0.2">
      <c r="A26" s="49"/>
      <c r="B26" s="49"/>
      <c r="C26" s="49"/>
      <c r="D26" s="49"/>
      <c r="E26" s="49"/>
      <c r="F26" s="54"/>
      <c r="G26" s="54"/>
      <c r="H26" s="54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x14ac:dyDescent="0.2">
      <c r="A27" s="49"/>
      <c r="B27" s="49"/>
      <c r="C27" s="49"/>
      <c r="D27" s="49"/>
      <c r="E27" s="49"/>
      <c r="F27" s="54"/>
      <c r="G27" s="54"/>
      <c r="H27" s="54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x14ac:dyDescent="0.2">
      <c r="A28" s="49"/>
      <c r="B28" s="49"/>
      <c r="C28" s="49"/>
      <c r="D28" s="49"/>
      <c r="E28" s="49"/>
      <c r="F28" s="54"/>
      <c r="G28" s="54"/>
      <c r="H28" s="54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x14ac:dyDescent="0.2">
      <c r="A29" s="49"/>
      <c r="B29" s="49"/>
      <c r="C29" s="49"/>
      <c r="D29" s="49"/>
      <c r="E29" s="49"/>
      <c r="F29" s="54"/>
      <c r="G29" s="54"/>
      <c r="H29" s="54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x14ac:dyDescent="0.2">
      <c r="A30" s="49"/>
      <c r="B30" s="49"/>
      <c r="C30" s="49"/>
      <c r="D30" s="49"/>
      <c r="E30" s="49"/>
      <c r="F30" s="54"/>
      <c r="G30" s="54"/>
      <c r="H30" s="54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x14ac:dyDescent="0.2">
      <c r="A31" s="49"/>
      <c r="B31" s="49"/>
      <c r="C31" s="49"/>
      <c r="D31" s="49"/>
      <c r="E31" s="49"/>
      <c r="F31" s="54"/>
      <c r="G31" s="54"/>
      <c r="H31" s="54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x14ac:dyDescent="0.2">
      <c r="A32" s="49"/>
      <c r="B32" s="49"/>
      <c r="C32" s="49"/>
      <c r="D32" s="49"/>
      <c r="E32" s="49"/>
      <c r="F32" s="54"/>
      <c r="G32" s="54"/>
      <c r="H32" s="54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x14ac:dyDescent="0.2">
      <c r="A33" s="49"/>
      <c r="B33" s="49"/>
      <c r="C33" s="49"/>
      <c r="D33" s="49"/>
      <c r="E33" s="49"/>
      <c r="F33" s="54"/>
      <c r="G33" s="54"/>
      <c r="H33" s="54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x14ac:dyDescent="0.2">
      <c r="A34" s="49"/>
      <c r="B34" s="49"/>
      <c r="C34" s="49"/>
      <c r="D34" s="49"/>
      <c r="E34" s="49"/>
      <c r="F34" s="54"/>
      <c r="G34" s="54"/>
      <c r="H34" s="54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x14ac:dyDescent="0.2">
      <c r="A35" s="49"/>
      <c r="B35" s="49"/>
      <c r="C35" s="49"/>
      <c r="D35" s="49"/>
      <c r="E35" s="49"/>
      <c r="F35" s="54"/>
      <c r="G35" s="54"/>
      <c r="H35" s="54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x14ac:dyDescent="0.2">
      <c r="A36" s="49"/>
      <c r="B36" s="49"/>
      <c r="C36" s="49"/>
      <c r="D36" s="49"/>
      <c r="E36" s="49"/>
      <c r="F36" s="54"/>
      <c r="G36" s="54"/>
      <c r="H36" s="5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x14ac:dyDescent="0.2">
      <c r="A37" s="49"/>
      <c r="B37" s="49"/>
      <c r="C37" s="49"/>
      <c r="D37" s="49"/>
      <c r="E37" s="49"/>
      <c r="F37" s="54"/>
      <c r="G37" s="54"/>
      <c r="H37" s="54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x14ac:dyDescent="0.2">
      <c r="A38" s="49"/>
      <c r="B38" s="49"/>
      <c r="C38" s="49"/>
      <c r="D38" s="49"/>
      <c r="E38" s="49"/>
      <c r="F38" s="54"/>
      <c r="G38" s="54"/>
      <c r="H38" s="54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x14ac:dyDescent="0.2">
      <c r="A39" s="49"/>
      <c r="B39" s="49"/>
      <c r="C39" s="49"/>
      <c r="D39" s="49"/>
      <c r="E39" s="49"/>
      <c r="F39" s="54"/>
      <c r="G39" s="54"/>
      <c r="H39" s="54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x14ac:dyDescent="0.2">
      <c r="A40" s="49"/>
      <c r="B40" s="49"/>
      <c r="C40" s="49"/>
      <c r="D40" s="49"/>
      <c r="E40" s="49"/>
      <c r="F40" s="54"/>
      <c r="G40" s="54"/>
      <c r="H40" s="54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x14ac:dyDescent="0.2">
      <c r="A41" s="49"/>
      <c r="B41" s="49"/>
      <c r="C41" s="49"/>
      <c r="D41" s="49"/>
      <c r="E41" s="49"/>
      <c r="F41" s="54"/>
      <c r="G41" s="54"/>
      <c r="H41" s="54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x14ac:dyDescent="0.2">
      <c r="A42" s="49"/>
      <c r="B42" s="49"/>
      <c r="C42" s="49"/>
      <c r="D42" s="49"/>
      <c r="E42" s="49"/>
      <c r="F42" s="54"/>
      <c r="G42" s="54"/>
      <c r="H42" s="54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x14ac:dyDescent="0.2">
      <c r="A43" s="49"/>
      <c r="B43" s="49"/>
      <c r="C43" s="49"/>
      <c r="D43" s="49"/>
      <c r="E43" s="49"/>
      <c r="F43" s="54"/>
      <c r="G43" s="54"/>
      <c r="H43" s="54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x14ac:dyDescent="0.2">
      <c r="A44" s="49"/>
      <c r="B44" s="49"/>
      <c r="C44" s="49"/>
      <c r="D44" s="49"/>
      <c r="E44" s="49"/>
      <c r="F44" s="54"/>
      <c r="G44" s="54"/>
      <c r="H44" s="54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x14ac:dyDescent="0.2">
      <c r="A45" s="49"/>
      <c r="B45" s="49"/>
      <c r="C45" s="49"/>
      <c r="D45" s="49"/>
      <c r="E45" s="49"/>
      <c r="F45" s="54"/>
      <c r="G45" s="54"/>
      <c r="H45" s="54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x14ac:dyDescent="0.2">
      <c r="A46" s="49"/>
      <c r="B46" s="49"/>
      <c r="C46" s="49"/>
      <c r="D46" s="49"/>
      <c r="E46" s="49"/>
      <c r="F46" s="54"/>
      <c r="G46" s="54"/>
      <c r="H46" s="54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x14ac:dyDescent="0.2">
      <c r="A47" s="49"/>
      <c r="B47" s="49"/>
      <c r="C47" s="49"/>
      <c r="D47" s="49"/>
      <c r="E47" s="49"/>
      <c r="F47" s="54"/>
      <c r="G47" s="54"/>
      <c r="H47" s="54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x14ac:dyDescent="0.2">
      <c r="A48" s="49"/>
      <c r="B48" s="49"/>
      <c r="C48" s="49"/>
      <c r="D48" s="49"/>
      <c r="E48" s="49"/>
      <c r="F48" s="54"/>
      <c r="G48" s="54"/>
      <c r="H48" s="54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x14ac:dyDescent="0.2">
      <c r="A49" s="49"/>
      <c r="B49" s="49"/>
      <c r="C49" s="49"/>
      <c r="D49" s="49"/>
      <c r="E49" s="49"/>
      <c r="F49" s="54"/>
      <c r="G49" s="54"/>
      <c r="H49" s="54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x14ac:dyDescent="0.2">
      <c r="A50" s="49"/>
      <c r="B50" s="49"/>
      <c r="C50" s="49"/>
      <c r="D50" s="49"/>
      <c r="E50" s="49"/>
      <c r="F50" s="54"/>
      <c r="G50" s="54"/>
      <c r="H50" s="54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x14ac:dyDescent="0.2">
      <c r="A51" s="49"/>
      <c r="B51" s="49"/>
      <c r="C51" s="49"/>
      <c r="D51" s="49"/>
      <c r="E51" s="49"/>
      <c r="F51" s="54"/>
      <c r="G51" s="54"/>
      <c r="H51" s="54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x14ac:dyDescent="0.2">
      <c r="A52" s="49"/>
      <c r="B52" s="49"/>
      <c r="C52" s="49"/>
      <c r="D52" s="49"/>
      <c r="E52" s="49"/>
      <c r="F52" s="54"/>
      <c r="G52" s="54"/>
      <c r="H52" s="54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x14ac:dyDescent="0.2">
      <c r="A53" s="49"/>
      <c r="B53" s="49"/>
      <c r="C53" s="49"/>
      <c r="D53" s="49"/>
      <c r="E53" s="49"/>
      <c r="F53" s="54"/>
      <c r="G53" s="54"/>
      <c r="H53" s="54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x14ac:dyDescent="0.2">
      <c r="A54" s="49"/>
      <c r="B54" s="49"/>
      <c r="C54" s="49"/>
      <c r="D54" s="49"/>
      <c r="E54" s="49"/>
      <c r="F54" s="54"/>
      <c r="G54" s="54"/>
      <c r="H54" s="54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x14ac:dyDescent="0.2">
      <c r="A55" s="49"/>
      <c r="B55" s="49"/>
      <c r="C55" s="49"/>
      <c r="D55" s="49"/>
      <c r="E55" s="49"/>
      <c r="F55" s="54"/>
      <c r="G55" s="54"/>
      <c r="H55" s="54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x14ac:dyDescent="0.2">
      <c r="A56" s="49"/>
      <c r="B56" s="49"/>
      <c r="C56" s="49"/>
      <c r="D56" s="49"/>
      <c r="E56" s="49"/>
      <c r="F56" s="54"/>
      <c r="G56" s="54"/>
      <c r="H56" s="54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x14ac:dyDescent="0.2">
      <c r="A57" s="49"/>
      <c r="B57" s="49"/>
      <c r="C57" s="49"/>
      <c r="D57" s="49"/>
      <c r="E57" s="49"/>
      <c r="F57" s="54"/>
      <c r="G57" s="54"/>
      <c r="H57" s="54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x14ac:dyDescent="0.2">
      <c r="A58" s="49"/>
      <c r="B58" s="49"/>
      <c r="C58" s="49"/>
      <c r="D58" s="49"/>
      <c r="E58" s="49"/>
      <c r="F58" s="54"/>
      <c r="G58" s="54"/>
      <c r="H58" s="54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x14ac:dyDescent="0.2">
      <c r="A59" s="49"/>
      <c r="B59" s="49"/>
      <c r="C59" s="49"/>
      <c r="D59" s="49"/>
      <c r="E59" s="49"/>
      <c r="F59" s="54"/>
      <c r="G59" s="54"/>
      <c r="H59" s="54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x14ac:dyDescent="0.2">
      <c r="A60" s="49"/>
      <c r="B60" s="49"/>
      <c r="C60" s="49"/>
      <c r="D60" s="49"/>
      <c r="E60" s="49"/>
      <c r="F60" s="54"/>
      <c r="G60" s="54"/>
      <c r="H60" s="54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x14ac:dyDescent="0.2">
      <c r="A61" s="49"/>
      <c r="B61" s="49"/>
      <c r="C61" s="49"/>
      <c r="D61" s="49"/>
      <c r="E61" s="49"/>
      <c r="F61" s="54"/>
      <c r="G61" s="54"/>
      <c r="H61" s="54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x14ac:dyDescent="0.2">
      <c r="A62" s="49"/>
      <c r="B62" s="49"/>
      <c r="C62" s="49"/>
      <c r="D62" s="49"/>
      <c r="E62" s="49"/>
      <c r="F62" s="54"/>
      <c r="G62" s="54"/>
      <c r="H62" s="54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x14ac:dyDescent="0.2">
      <c r="A63" s="49"/>
      <c r="B63" s="49"/>
      <c r="C63" s="49"/>
      <c r="D63" s="49"/>
      <c r="E63" s="49"/>
      <c r="F63" s="54"/>
      <c r="G63" s="54"/>
      <c r="H63" s="54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x14ac:dyDescent="0.2">
      <c r="A64" s="49"/>
      <c r="B64" s="49"/>
      <c r="C64" s="49"/>
      <c r="D64" s="49"/>
      <c r="E64" s="49"/>
      <c r="F64" s="54"/>
      <c r="G64" s="54"/>
      <c r="H64" s="54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x14ac:dyDescent="0.2">
      <c r="A65" s="49"/>
      <c r="B65" s="49"/>
      <c r="C65" s="49"/>
      <c r="D65" s="49"/>
      <c r="E65" s="49"/>
      <c r="F65" s="54"/>
      <c r="G65" s="54"/>
      <c r="H65" s="54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x14ac:dyDescent="0.2">
      <c r="A66" s="49"/>
      <c r="B66" s="49"/>
      <c r="C66" s="49"/>
      <c r="D66" s="49"/>
      <c r="E66" s="49"/>
      <c r="F66" s="54"/>
      <c r="G66" s="54"/>
      <c r="H66" s="54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x14ac:dyDescent="0.2">
      <c r="A67" s="49"/>
      <c r="B67" s="49"/>
      <c r="C67" s="49"/>
      <c r="D67" s="49"/>
      <c r="E67" s="49"/>
      <c r="F67" s="54"/>
      <c r="G67" s="54"/>
      <c r="H67" s="54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x14ac:dyDescent="0.2">
      <c r="A68" s="49"/>
      <c r="B68" s="49"/>
      <c r="C68" s="49"/>
      <c r="D68" s="49"/>
      <c r="E68" s="49"/>
      <c r="F68" s="54"/>
      <c r="G68" s="54"/>
      <c r="H68" s="54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x14ac:dyDescent="0.2">
      <c r="A69" s="49"/>
      <c r="B69" s="49"/>
      <c r="C69" s="49"/>
      <c r="D69" s="49"/>
      <c r="E69" s="49"/>
      <c r="F69" s="54"/>
      <c r="G69" s="54"/>
      <c r="H69" s="54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x14ac:dyDescent="0.2">
      <c r="A70" s="49"/>
      <c r="B70" s="49"/>
      <c r="C70" s="49"/>
      <c r="D70" s="49"/>
      <c r="E70" s="49"/>
      <c r="F70" s="54"/>
      <c r="G70" s="54"/>
      <c r="H70" s="54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x14ac:dyDescent="0.2">
      <c r="A71" s="49"/>
      <c r="B71" s="49"/>
      <c r="C71" s="49"/>
      <c r="D71" s="49"/>
      <c r="E71" s="49"/>
      <c r="F71" s="54"/>
      <c r="G71" s="54"/>
      <c r="H71" s="54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x14ac:dyDescent="0.2">
      <c r="A72" s="49"/>
      <c r="B72" s="49"/>
      <c r="C72" s="49"/>
      <c r="D72" s="49"/>
      <c r="E72" s="49"/>
      <c r="F72" s="54"/>
      <c r="G72" s="54"/>
      <c r="H72" s="54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x14ac:dyDescent="0.2">
      <c r="A73" s="49"/>
      <c r="B73" s="49"/>
      <c r="C73" s="49"/>
      <c r="D73" s="49"/>
      <c r="E73" s="49"/>
      <c r="F73" s="54"/>
      <c r="G73" s="54"/>
      <c r="H73" s="54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x14ac:dyDescent="0.2">
      <c r="A74" s="49"/>
      <c r="B74" s="49"/>
      <c r="C74" s="49"/>
      <c r="D74" s="49"/>
      <c r="E74" s="49"/>
      <c r="F74" s="54"/>
      <c r="G74" s="54"/>
      <c r="H74" s="54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x14ac:dyDescent="0.2">
      <c r="A75" s="49"/>
      <c r="B75" s="49"/>
      <c r="C75" s="49"/>
      <c r="D75" s="49"/>
      <c r="E75" s="49"/>
      <c r="F75" s="54"/>
      <c r="G75" s="54"/>
      <c r="H75" s="54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x14ac:dyDescent="0.2">
      <c r="A76" s="49"/>
      <c r="B76" s="49"/>
      <c r="C76" s="49"/>
      <c r="D76" s="49"/>
      <c r="E76" s="49"/>
      <c r="F76" s="54"/>
      <c r="G76" s="54"/>
      <c r="H76" s="54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x14ac:dyDescent="0.2">
      <c r="A77" s="49"/>
      <c r="B77" s="49"/>
      <c r="C77" s="49"/>
      <c r="D77" s="49"/>
      <c r="E77" s="49"/>
      <c r="F77" s="54"/>
      <c r="G77" s="54"/>
      <c r="H77" s="54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x14ac:dyDescent="0.2">
      <c r="A78" s="49"/>
      <c r="B78" s="49"/>
      <c r="C78" s="49"/>
      <c r="D78" s="49"/>
      <c r="E78" s="49"/>
      <c r="F78" s="54"/>
      <c r="G78" s="54"/>
      <c r="H78" s="54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x14ac:dyDescent="0.2">
      <c r="A79" s="49"/>
      <c r="B79" s="49"/>
      <c r="C79" s="49"/>
      <c r="D79" s="49"/>
      <c r="E79" s="49"/>
      <c r="F79" s="54"/>
      <c r="G79" s="54"/>
      <c r="H79" s="54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x14ac:dyDescent="0.2">
      <c r="A80" s="49"/>
      <c r="B80" s="49"/>
      <c r="C80" s="49"/>
      <c r="D80" s="49"/>
      <c r="E80" s="49"/>
      <c r="F80" s="54"/>
      <c r="G80" s="54"/>
      <c r="H80" s="54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x14ac:dyDescent="0.2">
      <c r="A81" s="49"/>
      <c r="B81" s="49"/>
      <c r="C81" s="49"/>
      <c r="D81" s="49"/>
      <c r="E81" s="49"/>
      <c r="F81" s="54"/>
      <c r="G81" s="54"/>
      <c r="H81" s="54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x14ac:dyDescent="0.2">
      <c r="A82" s="49"/>
      <c r="B82" s="49"/>
      <c r="C82" s="49"/>
      <c r="D82" s="49"/>
      <c r="E82" s="49"/>
      <c r="F82" s="54"/>
      <c r="G82" s="54"/>
      <c r="H82" s="54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x14ac:dyDescent="0.2">
      <c r="A83" s="49"/>
      <c r="B83" s="49"/>
      <c r="C83" s="49"/>
      <c r="D83" s="49"/>
      <c r="E83" s="49"/>
      <c r="F83" s="54"/>
      <c r="G83" s="54"/>
      <c r="H83" s="54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x14ac:dyDescent="0.2">
      <c r="A84" s="49"/>
      <c r="B84" s="49"/>
      <c r="C84" s="49"/>
      <c r="D84" s="49"/>
      <c r="E84" s="49"/>
      <c r="F84" s="54"/>
      <c r="G84" s="54"/>
      <c r="H84" s="54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x14ac:dyDescent="0.2">
      <c r="A85" s="49"/>
      <c r="B85" s="49"/>
      <c r="C85" s="49"/>
      <c r="D85" s="49"/>
      <c r="E85" s="49"/>
      <c r="F85" s="54"/>
      <c r="G85" s="54"/>
      <c r="H85" s="54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x14ac:dyDescent="0.2">
      <c r="A86" s="49"/>
      <c r="B86" s="49"/>
      <c r="C86" s="49"/>
      <c r="D86" s="49"/>
      <c r="E86" s="49"/>
      <c r="F86" s="54"/>
      <c r="G86" s="54"/>
      <c r="H86" s="54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x14ac:dyDescent="0.2">
      <c r="A87" s="49"/>
      <c r="B87" s="49"/>
      <c r="C87" s="49"/>
      <c r="D87" s="49"/>
      <c r="E87" s="49"/>
      <c r="F87" s="54"/>
      <c r="G87" s="54"/>
      <c r="H87" s="54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x14ac:dyDescent="0.2">
      <c r="A88" s="49"/>
      <c r="B88" s="49"/>
      <c r="C88" s="49"/>
      <c r="D88" s="49"/>
      <c r="E88" s="49"/>
      <c r="F88" s="54"/>
      <c r="G88" s="54"/>
      <c r="H88" s="54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x14ac:dyDescent="0.2">
      <c r="A89" s="49"/>
      <c r="B89" s="49"/>
      <c r="C89" s="49"/>
      <c r="D89" s="49"/>
      <c r="E89" s="49"/>
      <c r="F89" s="54"/>
      <c r="G89" s="54"/>
      <c r="H89" s="54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x14ac:dyDescent="0.2">
      <c r="A90" s="49"/>
      <c r="B90" s="49"/>
      <c r="C90" s="49"/>
      <c r="D90" s="49"/>
      <c r="E90" s="49"/>
      <c r="F90" s="54"/>
      <c r="G90" s="54"/>
      <c r="H90" s="54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x14ac:dyDescent="0.2">
      <c r="A91" s="49"/>
      <c r="B91" s="49"/>
      <c r="C91" s="49"/>
      <c r="D91" s="49"/>
      <c r="E91" s="49"/>
      <c r="F91" s="54"/>
      <c r="G91" s="54"/>
      <c r="H91" s="54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x14ac:dyDescent="0.2">
      <c r="A92" s="49"/>
      <c r="B92" s="49"/>
      <c r="C92" s="49"/>
      <c r="D92" s="49"/>
      <c r="E92" s="49"/>
      <c r="F92" s="54"/>
      <c r="G92" s="54"/>
      <c r="H92" s="54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x14ac:dyDescent="0.2">
      <c r="A93" s="49"/>
      <c r="B93" s="49"/>
      <c r="C93" s="49"/>
      <c r="D93" s="49"/>
      <c r="E93" s="49"/>
      <c r="F93" s="54"/>
      <c r="G93" s="54"/>
      <c r="H93" s="54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x14ac:dyDescent="0.2">
      <c r="A94" s="49"/>
      <c r="B94" s="49"/>
      <c r="C94" s="49"/>
      <c r="D94" s="49"/>
      <c r="E94" s="49"/>
      <c r="F94" s="54"/>
      <c r="G94" s="54"/>
      <c r="H94" s="54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x14ac:dyDescent="0.2">
      <c r="A95" s="49"/>
      <c r="B95" s="49"/>
      <c r="C95" s="49"/>
      <c r="D95" s="49"/>
      <c r="E95" s="49"/>
      <c r="F95" s="54"/>
      <c r="G95" s="54"/>
      <c r="H95" s="54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x14ac:dyDescent="0.2">
      <c r="A96" s="49"/>
      <c r="B96" s="49"/>
      <c r="C96" s="49"/>
      <c r="D96" s="49"/>
      <c r="E96" s="49"/>
      <c r="F96" s="54"/>
      <c r="G96" s="54"/>
      <c r="H96" s="54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x14ac:dyDescent="0.2">
      <c r="A97" s="49"/>
      <c r="B97" s="49"/>
      <c r="C97" s="49"/>
      <c r="D97" s="49"/>
      <c r="E97" s="49"/>
      <c r="F97" s="54"/>
      <c r="G97" s="54"/>
      <c r="H97" s="54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x14ac:dyDescent="0.2">
      <c r="A98" s="49"/>
      <c r="B98" s="49"/>
      <c r="C98" s="49"/>
      <c r="D98" s="49"/>
      <c r="E98" s="49"/>
      <c r="F98" s="54"/>
      <c r="G98" s="54"/>
      <c r="H98" s="54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x14ac:dyDescent="0.2">
      <c r="A99" s="49"/>
      <c r="B99" s="49"/>
      <c r="C99" s="49"/>
      <c r="D99" s="49"/>
      <c r="E99" s="49"/>
      <c r="F99" s="54"/>
      <c r="G99" s="54"/>
      <c r="H99" s="54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x14ac:dyDescent="0.2">
      <c r="A100" s="49"/>
      <c r="B100" s="49"/>
      <c r="C100" s="49"/>
      <c r="D100" s="49"/>
      <c r="E100" s="49"/>
      <c r="F100" s="54"/>
      <c r="G100" s="54"/>
      <c r="H100" s="54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x14ac:dyDescent="0.2">
      <c r="A101" s="49"/>
      <c r="B101" s="49"/>
      <c r="C101" s="49"/>
      <c r="D101" s="49"/>
      <c r="E101" s="49"/>
      <c r="F101" s="54"/>
      <c r="G101" s="54"/>
      <c r="H101" s="54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x14ac:dyDescent="0.2">
      <c r="A102" s="49"/>
      <c r="B102" s="49"/>
      <c r="C102" s="49"/>
      <c r="D102" s="49"/>
      <c r="E102" s="49"/>
      <c r="F102" s="54"/>
      <c r="G102" s="54"/>
      <c r="H102" s="54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x14ac:dyDescent="0.2">
      <c r="A103" s="49"/>
      <c r="B103" s="49"/>
      <c r="C103" s="49"/>
      <c r="D103" s="49"/>
      <c r="E103" s="49"/>
      <c r="F103" s="54"/>
      <c r="G103" s="54"/>
      <c r="H103" s="54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x14ac:dyDescent="0.2">
      <c r="A104" s="49"/>
      <c r="B104" s="49"/>
      <c r="C104" s="49"/>
      <c r="D104" s="49"/>
      <c r="E104" s="49"/>
      <c r="F104" s="54"/>
      <c r="G104" s="54"/>
      <c r="H104" s="54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x14ac:dyDescent="0.2">
      <c r="A105" s="49"/>
      <c r="B105" s="49"/>
      <c r="C105" s="49"/>
      <c r="D105" s="49"/>
      <c r="E105" s="49"/>
      <c r="F105" s="54"/>
      <c r="G105" s="54"/>
      <c r="H105" s="54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x14ac:dyDescent="0.2">
      <c r="A106" s="49"/>
      <c r="B106" s="49"/>
      <c r="C106" s="49"/>
      <c r="D106" s="49"/>
      <c r="E106" s="49"/>
      <c r="F106" s="54"/>
      <c r="G106" s="54"/>
      <c r="H106" s="54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x14ac:dyDescent="0.2">
      <c r="A107" s="49"/>
      <c r="B107" s="49"/>
      <c r="C107" s="49"/>
      <c r="D107" s="49"/>
      <c r="E107" s="49"/>
      <c r="F107" s="54"/>
      <c r="G107" s="54"/>
      <c r="H107" s="54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x14ac:dyDescent="0.2">
      <c r="A108" s="49"/>
      <c r="B108" s="49"/>
      <c r="C108" s="49"/>
      <c r="D108" s="49"/>
      <c r="E108" s="49"/>
      <c r="F108" s="54"/>
      <c r="G108" s="54"/>
      <c r="H108" s="54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x14ac:dyDescent="0.2">
      <c r="A109" s="49"/>
      <c r="B109" s="49"/>
      <c r="C109" s="49"/>
      <c r="D109" s="49"/>
      <c r="E109" s="49"/>
      <c r="F109" s="54"/>
      <c r="G109" s="54"/>
      <c r="H109" s="54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x14ac:dyDescent="0.2">
      <c r="A110" s="49"/>
      <c r="B110" s="49"/>
      <c r="C110" s="49"/>
      <c r="D110" s="49"/>
      <c r="E110" s="49"/>
      <c r="F110" s="54"/>
      <c r="G110" s="54"/>
      <c r="H110" s="54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x14ac:dyDescent="0.2">
      <c r="A111" s="49"/>
      <c r="B111" s="49"/>
      <c r="C111" s="49"/>
      <c r="D111" s="49"/>
      <c r="E111" s="49"/>
      <c r="F111" s="54"/>
      <c r="G111" s="54"/>
      <c r="H111" s="54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x14ac:dyDescent="0.2">
      <c r="A112" s="49"/>
      <c r="B112" s="49"/>
      <c r="C112" s="49"/>
      <c r="D112" s="49"/>
      <c r="E112" s="49"/>
      <c r="F112" s="54"/>
      <c r="G112" s="54"/>
      <c r="H112" s="54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x14ac:dyDescent="0.2">
      <c r="A113" s="49"/>
      <c r="B113" s="49"/>
      <c r="C113" s="49"/>
      <c r="D113" s="49"/>
      <c r="E113" s="49"/>
      <c r="F113" s="54"/>
      <c r="G113" s="54"/>
      <c r="H113" s="54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x14ac:dyDescent="0.2">
      <c r="A114" s="49"/>
      <c r="B114" s="49"/>
      <c r="C114" s="49"/>
      <c r="D114" s="49"/>
      <c r="E114" s="49"/>
      <c r="F114" s="54"/>
      <c r="G114" s="54"/>
      <c r="H114" s="54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x14ac:dyDescent="0.2">
      <c r="A115" s="49"/>
      <c r="B115" s="49"/>
      <c r="C115" s="49"/>
      <c r="D115" s="49"/>
      <c r="E115" s="49"/>
      <c r="F115" s="54"/>
      <c r="G115" s="54"/>
      <c r="H115" s="54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x14ac:dyDescent="0.2">
      <c r="A116" s="49"/>
      <c r="B116" s="49"/>
      <c r="C116" s="49"/>
      <c r="D116" s="49"/>
      <c r="E116" s="49"/>
      <c r="F116" s="54"/>
      <c r="G116" s="54"/>
      <c r="H116" s="54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x14ac:dyDescent="0.2">
      <c r="A117" s="49"/>
      <c r="B117" s="49"/>
      <c r="C117" s="49"/>
      <c r="D117" s="49"/>
      <c r="E117" s="49"/>
      <c r="F117" s="54"/>
      <c r="G117" s="54"/>
      <c r="H117" s="54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x14ac:dyDescent="0.2">
      <c r="A118" s="49"/>
      <c r="B118" s="49"/>
      <c r="C118" s="49"/>
      <c r="D118" s="49"/>
      <c r="E118" s="49"/>
      <c r="F118" s="54"/>
      <c r="G118" s="54"/>
      <c r="H118" s="54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x14ac:dyDescent="0.2">
      <c r="A119" s="49"/>
      <c r="B119" s="49"/>
      <c r="C119" s="49"/>
      <c r="D119" s="49"/>
      <c r="E119" s="49"/>
      <c r="F119" s="54"/>
      <c r="G119" s="54"/>
      <c r="H119" s="54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x14ac:dyDescent="0.2">
      <c r="A120" s="49"/>
      <c r="B120" s="49"/>
      <c r="C120" s="49"/>
      <c r="D120" s="49"/>
      <c r="E120" s="49"/>
      <c r="F120" s="54"/>
      <c r="G120" s="54"/>
      <c r="H120" s="54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x14ac:dyDescent="0.2">
      <c r="A121" s="49"/>
      <c r="B121" s="49"/>
      <c r="C121" s="49"/>
      <c r="D121" s="49"/>
      <c r="E121" s="49"/>
      <c r="F121" s="54"/>
      <c r="G121" s="54"/>
      <c r="H121" s="54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x14ac:dyDescent="0.2">
      <c r="A122" s="49"/>
      <c r="B122" s="49"/>
      <c r="C122" s="49"/>
      <c r="D122" s="49"/>
      <c r="E122" s="49"/>
      <c r="F122" s="54"/>
      <c r="G122" s="54"/>
      <c r="H122" s="54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x14ac:dyDescent="0.2">
      <c r="A123" s="49"/>
      <c r="B123" s="49"/>
      <c r="C123" s="49"/>
      <c r="D123" s="49"/>
      <c r="E123" s="49"/>
      <c r="F123" s="54"/>
      <c r="G123" s="54"/>
      <c r="H123" s="54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x14ac:dyDescent="0.2">
      <c r="A124" s="49"/>
      <c r="B124" s="49"/>
      <c r="C124" s="49"/>
      <c r="D124" s="49"/>
      <c r="E124" s="49"/>
      <c r="F124" s="54"/>
      <c r="G124" s="54"/>
      <c r="H124" s="54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x14ac:dyDescent="0.2">
      <c r="A125" s="49"/>
      <c r="B125" s="49"/>
      <c r="C125" s="49"/>
      <c r="D125" s="49"/>
      <c r="E125" s="49"/>
      <c r="F125" s="54"/>
      <c r="G125" s="54"/>
      <c r="H125" s="54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x14ac:dyDescent="0.2">
      <c r="A126" s="49"/>
      <c r="B126" s="49"/>
      <c r="C126" s="49"/>
      <c r="D126" s="49"/>
      <c r="E126" s="49"/>
      <c r="F126" s="54"/>
      <c r="G126" s="54"/>
      <c r="H126" s="54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x14ac:dyDescent="0.2">
      <c r="A127" s="49"/>
      <c r="B127" s="49"/>
      <c r="C127" s="49"/>
      <c r="D127" s="49"/>
      <c r="E127" s="49"/>
      <c r="F127" s="54"/>
      <c r="G127" s="54"/>
      <c r="H127" s="54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x14ac:dyDescent="0.2">
      <c r="A128" s="49"/>
      <c r="B128" s="49"/>
      <c r="C128" s="49"/>
      <c r="D128" s="49"/>
      <c r="E128" s="49"/>
      <c r="F128" s="54"/>
      <c r="G128" s="54"/>
      <c r="H128" s="54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x14ac:dyDescent="0.2">
      <c r="A129" s="49"/>
      <c r="B129" s="49"/>
      <c r="C129" s="49"/>
      <c r="D129" s="49"/>
      <c r="E129" s="49"/>
      <c r="F129" s="54"/>
      <c r="G129" s="54"/>
      <c r="H129" s="54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x14ac:dyDescent="0.2">
      <c r="A130" s="49"/>
      <c r="B130" s="49"/>
      <c r="C130" s="49"/>
      <c r="D130" s="49"/>
      <c r="E130" s="49"/>
      <c r="F130" s="54"/>
      <c r="G130" s="54"/>
      <c r="H130" s="54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x14ac:dyDescent="0.2">
      <c r="A131" s="49"/>
      <c r="B131" s="49"/>
      <c r="C131" s="49"/>
      <c r="D131" s="49"/>
      <c r="E131" s="49"/>
      <c r="F131" s="54"/>
      <c r="G131" s="54"/>
      <c r="H131" s="54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x14ac:dyDescent="0.2">
      <c r="A132" s="49"/>
      <c r="B132" s="49"/>
      <c r="C132" s="49"/>
      <c r="D132" s="49"/>
      <c r="E132" s="49"/>
      <c r="F132" s="54"/>
      <c r="G132" s="54"/>
      <c r="H132" s="54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x14ac:dyDescent="0.2">
      <c r="A133" s="49"/>
      <c r="B133" s="49"/>
      <c r="C133" s="49"/>
      <c r="D133" s="49"/>
      <c r="E133" s="49"/>
      <c r="F133" s="54"/>
      <c r="G133" s="54"/>
      <c r="H133" s="54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x14ac:dyDescent="0.2">
      <c r="A134" s="49"/>
      <c r="B134" s="49"/>
      <c r="C134" s="49"/>
      <c r="D134" s="49"/>
      <c r="E134" s="49"/>
      <c r="F134" s="54"/>
      <c r="G134" s="54"/>
      <c r="H134" s="54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x14ac:dyDescent="0.2">
      <c r="A135" s="49"/>
      <c r="B135" s="49"/>
      <c r="C135" s="49"/>
      <c r="D135" s="49"/>
      <c r="E135" s="49"/>
      <c r="F135" s="54"/>
      <c r="G135" s="54"/>
      <c r="H135" s="54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x14ac:dyDescent="0.2">
      <c r="A136" s="49"/>
      <c r="B136" s="49"/>
      <c r="C136" s="49"/>
      <c r="D136" s="49"/>
      <c r="E136" s="49"/>
      <c r="F136" s="54"/>
      <c r="G136" s="54"/>
      <c r="H136" s="54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x14ac:dyDescent="0.2">
      <c r="A137" s="49"/>
      <c r="B137" s="49"/>
      <c r="C137" s="49"/>
      <c r="D137" s="49"/>
      <c r="E137" s="49"/>
      <c r="F137" s="54"/>
      <c r="G137" s="54"/>
      <c r="H137" s="54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x14ac:dyDescent="0.2">
      <c r="A138" s="49"/>
      <c r="B138" s="49"/>
      <c r="C138" s="49"/>
      <c r="D138" s="49"/>
      <c r="E138" s="49"/>
      <c r="F138" s="54"/>
      <c r="G138" s="54"/>
      <c r="H138" s="54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x14ac:dyDescent="0.2">
      <c r="A139" s="49"/>
      <c r="B139" s="49"/>
      <c r="C139" s="49"/>
      <c r="D139" s="49"/>
      <c r="E139" s="49"/>
      <c r="F139" s="54"/>
      <c r="G139" s="54"/>
      <c r="H139" s="54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x14ac:dyDescent="0.2">
      <c r="A140" s="49"/>
      <c r="B140" s="49"/>
      <c r="C140" s="49"/>
      <c r="D140" s="49"/>
      <c r="E140" s="49"/>
      <c r="F140" s="54"/>
      <c r="G140" s="54"/>
      <c r="H140" s="54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x14ac:dyDescent="0.2">
      <c r="A141" s="49"/>
      <c r="B141" s="49"/>
      <c r="C141" s="49"/>
      <c r="D141" s="49"/>
      <c r="E141" s="49"/>
      <c r="F141" s="54"/>
      <c r="G141" s="54"/>
      <c r="H141" s="54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x14ac:dyDescent="0.2">
      <c r="A142" s="49"/>
      <c r="B142" s="49"/>
      <c r="C142" s="49"/>
      <c r="D142" s="49"/>
      <c r="E142" s="49"/>
      <c r="F142" s="54"/>
      <c r="G142" s="54"/>
      <c r="H142" s="54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x14ac:dyDescent="0.2">
      <c r="A143" s="49"/>
      <c r="B143" s="49"/>
      <c r="C143" s="49"/>
      <c r="D143" s="49"/>
      <c r="E143" s="49"/>
      <c r="F143" s="54"/>
      <c r="G143" s="54"/>
      <c r="H143" s="54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x14ac:dyDescent="0.2">
      <c r="A144" s="49"/>
      <c r="B144" s="49"/>
      <c r="C144" s="49"/>
      <c r="D144" s="49"/>
      <c r="E144" s="49"/>
      <c r="F144" s="54"/>
      <c r="G144" s="54"/>
      <c r="H144" s="54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x14ac:dyDescent="0.2">
      <c r="A145" s="49"/>
      <c r="B145" s="49"/>
      <c r="C145" s="49"/>
      <c r="D145" s="49"/>
      <c r="E145" s="49"/>
      <c r="F145" s="54"/>
      <c r="G145" s="54"/>
      <c r="H145" s="54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x14ac:dyDescent="0.2">
      <c r="A146" s="49"/>
      <c r="B146" s="49"/>
      <c r="C146" s="49"/>
      <c r="D146" s="49"/>
      <c r="E146" s="49"/>
      <c r="F146" s="54"/>
      <c r="G146" s="54"/>
      <c r="H146" s="54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x14ac:dyDescent="0.2">
      <c r="A147" s="49"/>
      <c r="B147" s="49"/>
      <c r="C147" s="49"/>
      <c r="D147" s="49"/>
      <c r="E147" s="49"/>
      <c r="F147" s="54"/>
      <c r="G147" s="54"/>
      <c r="H147" s="54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x14ac:dyDescent="0.2">
      <c r="A148" s="49"/>
      <c r="B148" s="49"/>
      <c r="C148" s="49"/>
      <c r="D148" s="49"/>
      <c r="E148" s="49"/>
      <c r="F148" s="54"/>
      <c r="G148" s="54"/>
      <c r="H148" s="54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x14ac:dyDescent="0.2">
      <c r="A149" s="49"/>
      <c r="B149" s="49"/>
      <c r="C149" s="49"/>
      <c r="D149" s="49"/>
      <c r="E149" s="49"/>
      <c r="F149" s="54"/>
      <c r="G149" s="54"/>
      <c r="H149" s="54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x14ac:dyDescent="0.2">
      <c r="A150" s="49"/>
      <c r="B150" s="49"/>
      <c r="C150" s="49"/>
      <c r="D150" s="49"/>
      <c r="E150" s="49"/>
      <c r="F150" s="54"/>
      <c r="G150" s="54"/>
      <c r="H150" s="54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x14ac:dyDescent="0.2">
      <c r="A151" s="49"/>
      <c r="B151" s="49"/>
      <c r="C151" s="49"/>
      <c r="D151" s="49"/>
      <c r="E151" s="49"/>
      <c r="F151" s="54"/>
      <c r="G151" s="54"/>
      <c r="H151" s="54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x14ac:dyDescent="0.2">
      <c r="A152" s="49"/>
      <c r="B152" s="49"/>
      <c r="C152" s="49"/>
      <c r="D152" s="49"/>
      <c r="E152" s="49"/>
      <c r="F152" s="54"/>
      <c r="G152" s="54"/>
      <c r="H152" s="54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x14ac:dyDescent="0.2">
      <c r="A153" s="49"/>
      <c r="B153" s="49"/>
      <c r="C153" s="49"/>
      <c r="D153" s="49"/>
      <c r="E153" s="49"/>
      <c r="F153" s="54"/>
      <c r="G153" s="54"/>
      <c r="H153" s="54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x14ac:dyDescent="0.2">
      <c r="A154" s="49"/>
      <c r="B154" s="49"/>
      <c r="C154" s="49"/>
      <c r="D154" s="49"/>
      <c r="E154" s="49"/>
      <c r="F154" s="54"/>
      <c r="G154" s="54"/>
      <c r="H154" s="54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x14ac:dyDescent="0.2">
      <c r="A155" s="49"/>
      <c r="B155" s="49"/>
      <c r="C155" s="49"/>
      <c r="D155" s="49"/>
      <c r="E155" s="49"/>
      <c r="F155" s="54"/>
      <c r="G155" s="54"/>
      <c r="H155" s="54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x14ac:dyDescent="0.2">
      <c r="A156" s="49"/>
      <c r="B156" s="49"/>
      <c r="C156" s="49"/>
      <c r="D156" s="49"/>
      <c r="E156" s="49"/>
      <c r="F156" s="54"/>
      <c r="G156" s="54"/>
      <c r="H156" s="54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x14ac:dyDescent="0.2">
      <c r="A157" s="49"/>
      <c r="B157" s="49"/>
      <c r="C157" s="49"/>
      <c r="D157" s="49"/>
      <c r="E157" s="49"/>
      <c r="F157" s="54"/>
      <c r="G157" s="54"/>
      <c r="H157" s="54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x14ac:dyDescent="0.2">
      <c r="A158" s="49"/>
      <c r="B158" s="49"/>
      <c r="C158" s="49"/>
      <c r="D158" s="49"/>
      <c r="E158" s="49"/>
      <c r="F158" s="54"/>
      <c r="G158" s="54"/>
      <c r="H158" s="54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x14ac:dyDescent="0.2">
      <c r="A159" s="49"/>
      <c r="B159" s="49"/>
      <c r="C159" s="49"/>
      <c r="D159" s="49"/>
      <c r="E159" s="49"/>
      <c r="F159" s="54"/>
      <c r="G159" s="54"/>
      <c r="H159" s="54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x14ac:dyDescent="0.2">
      <c r="A160" s="49"/>
      <c r="B160" s="49"/>
      <c r="C160" s="49"/>
      <c r="D160" s="49"/>
      <c r="E160" s="49"/>
      <c r="F160" s="54"/>
      <c r="G160" s="54"/>
      <c r="H160" s="54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x14ac:dyDescent="0.2">
      <c r="A161" s="49"/>
      <c r="B161" s="49"/>
      <c r="C161" s="49"/>
      <c r="D161" s="49"/>
      <c r="E161" s="49"/>
      <c r="F161" s="54"/>
      <c r="G161" s="54"/>
      <c r="H161" s="54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x14ac:dyDescent="0.2">
      <c r="A162" s="49"/>
      <c r="B162" s="49"/>
      <c r="C162" s="49"/>
      <c r="D162" s="49"/>
      <c r="E162" s="49"/>
      <c r="F162" s="54"/>
      <c r="G162" s="54"/>
      <c r="H162" s="54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x14ac:dyDescent="0.2">
      <c r="A163" s="49"/>
      <c r="B163" s="49"/>
      <c r="C163" s="49"/>
      <c r="D163" s="49"/>
      <c r="E163" s="49"/>
      <c r="F163" s="54"/>
      <c r="G163" s="54"/>
      <c r="H163" s="54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x14ac:dyDescent="0.2">
      <c r="A164" s="49"/>
      <c r="B164" s="49"/>
      <c r="C164" s="49"/>
      <c r="D164" s="49"/>
      <c r="E164" s="49"/>
      <c r="F164" s="54"/>
      <c r="G164" s="54"/>
      <c r="H164" s="54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x14ac:dyDescent="0.2">
      <c r="A165" s="49"/>
      <c r="B165" s="49"/>
      <c r="C165" s="49"/>
      <c r="D165" s="49"/>
      <c r="E165" s="49"/>
      <c r="F165" s="54"/>
      <c r="G165" s="54"/>
      <c r="H165" s="54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x14ac:dyDescent="0.2">
      <c r="A166" s="49"/>
      <c r="B166" s="49"/>
      <c r="C166" s="49"/>
      <c r="D166" s="49"/>
      <c r="E166" s="49"/>
      <c r="F166" s="54"/>
      <c r="G166" s="54"/>
      <c r="H166" s="54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x14ac:dyDescent="0.2">
      <c r="A167" s="49"/>
      <c r="B167" s="49"/>
      <c r="C167" s="49"/>
      <c r="D167" s="49"/>
      <c r="E167" s="49"/>
      <c r="F167" s="54"/>
      <c r="G167" s="54"/>
      <c r="H167" s="54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x14ac:dyDescent="0.2">
      <c r="A168" s="49"/>
      <c r="B168" s="49"/>
      <c r="C168" s="49"/>
      <c r="D168" s="49"/>
      <c r="E168" s="49"/>
      <c r="F168" s="54"/>
      <c r="G168" s="54"/>
      <c r="H168" s="54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x14ac:dyDescent="0.2">
      <c r="A169" s="49"/>
      <c r="B169" s="49"/>
      <c r="C169" s="49"/>
      <c r="D169" s="49"/>
      <c r="E169" s="49"/>
      <c r="F169" s="54"/>
      <c r="G169" s="54"/>
      <c r="H169" s="54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x14ac:dyDescent="0.2">
      <c r="A170" s="49"/>
      <c r="B170" s="49"/>
      <c r="C170" s="49"/>
      <c r="D170" s="49"/>
      <c r="E170" s="49"/>
      <c r="F170" s="54"/>
      <c r="G170" s="54"/>
      <c r="H170" s="54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x14ac:dyDescent="0.2">
      <c r="A171" s="49"/>
      <c r="B171" s="49"/>
      <c r="C171" s="49"/>
      <c r="D171" s="49"/>
      <c r="E171" s="49"/>
      <c r="F171" s="54"/>
      <c r="G171" s="54"/>
      <c r="H171" s="54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x14ac:dyDescent="0.2">
      <c r="A172" s="49"/>
      <c r="B172" s="49"/>
      <c r="C172" s="49"/>
      <c r="D172" s="49"/>
      <c r="E172" s="49"/>
      <c r="F172" s="54"/>
      <c r="G172" s="54"/>
      <c r="H172" s="54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x14ac:dyDescent="0.2">
      <c r="A173" s="49"/>
      <c r="B173" s="49"/>
      <c r="C173" s="49"/>
      <c r="D173" s="49"/>
      <c r="E173" s="49"/>
      <c r="F173" s="54"/>
      <c r="G173" s="54"/>
      <c r="H173" s="54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x14ac:dyDescent="0.2">
      <c r="A174" s="49"/>
      <c r="B174" s="49"/>
      <c r="C174" s="49"/>
      <c r="D174" s="49"/>
      <c r="E174" s="49"/>
      <c r="F174" s="54"/>
      <c r="G174" s="54"/>
      <c r="H174" s="54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x14ac:dyDescent="0.2">
      <c r="A175" s="49"/>
      <c r="B175" s="49"/>
      <c r="C175" s="49"/>
      <c r="D175" s="49"/>
      <c r="E175" s="49"/>
      <c r="F175" s="54"/>
      <c r="G175" s="54"/>
      <c r="H175" s="54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x14ac:dyDescent="0.2">
      <c r="A176" s="49"/>
      <c r="B176" s="49"/>
      <c r="C176" s="49"/>
      <c r="D176" s="49"/>
      <c r="E176" s="49"/>
      <c r="F176" s="54"/>
      <c r="G176" s="54"/>
      <c r="H176" s="54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x14ac:dyDescent="0.2">
      <c r="A177" s="49"/>
      <c r="B177" s="49"/>
      <c r="C177" s="49"/>
      <c r="D177" s="49"/>
      <c r="E177" s="49"/>
      <c r="F177" s="54"/>
      <c r="G177" s="54"/>
      <c r="H177" s="54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x14ac:dyDescent="0.2">
      <c r="A178" s="49"/>
      <c r="B178" s="49"/>
      <c r="C178" s="49"/>
      <c r="D178" s="49"/>
      <c r="E178" s="49"/>
      <c r="F178" s="54"/>
      <c r="G178" s="54"/>
      <c r="H178" s="54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x14ac:dyDescent="0.2">
      <c r="A179" s="49"/>
      <c r="B179" s="49"/>
      <c r="C179" s="49"/>
      <c r="D179" s="49"/>
      <c r="E179" s="49"/>
      <c r="F179" s="54"/>
      <c r="G179" s="54"/>
      <c r="H179" s="54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x14ac:dyDescent="0.2">
      <c r="A180" s="49"/>
      <c r="B180" s="49"/>
      <c r="C180" s="49"/>
      <c r="D180" s="49"/>
      <c r="E180" s="49"/>
      <c r="F180" s="54"/>
      <c r="G180" s="54"/>
      <c r="H180" s="54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x14ac:dyDescent="0.2">
      <c r="A181" s="49"/>
      <c r="B181" s="49"/>
      <c r="C181" s="49"/>
      <c r="D181" s="49"/>
      <c r="E181" s="49"/>
      <c r="F181" s="54"/>
      <c r="G181" s="54"/>
      <c r="H181" s="54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x14ac:dyDescent="0.2">
      <c r="A182" s="49"/>
      <c r="B182" s="49"/>
      <c r="C182" s="49"/>
      <c r="D182" s="49"/>
      <c r="E182" s="49"/>
      <c r="F182" s="54"/>
      <c r="G182" s="54"/>
      <c r="H182" s="54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x14ac:dyDescent="0.2">
      <c r="A183" s="49"/>
      <c r="B183" s="49"/>
      <c r="C183" s="49"/>
      <c r="D183" s="49"/>
      <c r="E183" s="49"/>
      <c r="F183" s="54"/>
      <c r="G183" s="54"/>
      <c r="H183" s="54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x14ac:dyDescent="0.2">
      <c r="A184" s="49"/>
      <c r="B184" s="49"/>
      <c r="C184" s="49"/>
      <c r="D184" s="49"/>
      <c r="E184" s="49"/>
      <c r="F184" s="54"/>
      <c r="G184" s="54"/>
      <c r="H184" s="54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x14ac:dyDescent="0.2">
      <c r="A185" s="49"/>
      <c r="B185" s="49"/>
      <c r="C185" s="49"/>
      <c r="D185" s="49"/>
      <c r="E185" s="49"/>
      <c r="F185" s="54"/>
      <c r="G185" s="54"/>
      <c r="H185" s="54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x14ac:dyDescent="0.2">
      <c r="A186" s="49"/>
      <c r="B186" s="49"/>
      <c r="C186" s="49"/>
      <c r="D186" s="49"/>
      <c r="E186" s="49"/>
      <c r="F186" s="54"/>
      <c r="G186" s="54"/>
      <c r="H186" s="54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x14ac:dyDescent="0.2">
      <c r="A187" s="49"/>
      <c r="B187" s="49"/>
      <c r="C187" s="49"/>
      <c r="D187" s="49"/>
      <c r="E187" s="49"/>
      <c r="F187" s="54"/>
      <c r="G187" s="54"/>
      <c r="H187" s="54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x14ac:dyDescent="0.2">
      <c r="A188" s="49"/>
      <c r="B188" s="49"/>
      <c r="C188" s="49"/>
      <c r="D188" s="49"/>
      <c r="E188" s="49"/>
      <c r="F188" s="54"/>
      <c r="G188" s="54"/>
      <c r="H188" s="54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x14ac:dyDescent="0.2">
      <c r="A189" s="49"/>
      <c r="B189" s="49"/>
      <c r="C189" s="49"/>
      <c r="D189" s="49"/>
      <c r="E189" s="49"/>
      <c r="F189" s="54"/>
      <c r="G189" s="54"/>
      <c r="H189" s="54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x14ac:dyDescent="0.2">
      <c r="A190" s="49"/>
      <c r="B190" s="49"/>
      <c r="C190" s="49"/>
      <c r="D190" s="49"/>
      <c r="E190" s="49"/>
      <c r="F190" s="54"/>
      <c r="G190" s="54"/>
      <c r="H190" s="54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x14ac:dyDescent="0.2">
      <c r="A191" s="49"/>
      <c r="B191" s="49"/>
      <c r="C191" s="49"/>
      <c r="D191" s="49"/>
      <c r="E191" s="49"/>
      <c r="F191" s="54"/>
      <c r="G191" s="54"/>
      <c r="H191" s="54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x14ac:dyDescent="0.2">
      <c r="A192" s="49"/>
      <c r="B192" s="49"/>
      <c r="C192" s="49"/>
      <c r="D192" s="49"/>
      <c r="E192" s="49"/>
      <c r="F192" s="54"/>
      <c r="G192" s="54"/>
      <c r="H192" s="54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x14ac:dyDescent="0.2">
      <c r="A193" s="49"/>
      <c r="B193" s="49"/>
      <c r="C193" s="49"/>
      <c r="D193" s="49"/>
      <c r="E193" s="49"/>
      <c r="F193" s="54"/>
      <c r="G193" s="54"/>
      <c r="H193" s="54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x14ac:dyDescent="0.2">
      <c r="A194" s="49"/>
      <c r="B194" s="49"/>
      <c r="C194" s="49"/>
      <c r="D194" s="49"/>
      <c r="E194" s="49"/>
      <c r="F194" s="54"/>
      <c r="G194" s="54"/>
      <c r="H194" s="54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x14ac:dyDescent="0.2">
      <c r="A195" s="49"/>
      <c r="B195" s="49"/>
      <c r="C195" s="49"/>
      <c r="D195" s="49"/>
      <c r="E195" s="49"/>
      <c r="F195" s="54"/>
      <c r="G195" s="54"/>
      <c r="H195" s="54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x14ac:dyDescent="0.2">
      <c r="A196" s="49"/>
      <c r="B196" s="49"/>
      <c r="C196" s="49"/>
      <c r="D196" s="49"/>
      <c r="E196" s="49"/>
      <c r="F196" s="54"/>
      <c r="G196" s="54"/>
      <c r="H196" s="54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x14ac:dyDescent="0.2">
      <c r="A197" s="49"/>
      <c r="B197" s="49"/>
      <c r="C197" s="49"/>
      <c r="D197" s="49"/>
      <c r="E197" s="49"/>
      <c r="F197" s="54"/>
      <c r="G197" s="54"/>
      <c r="H197" s="54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x14ac:dyDescent="0.2">
      <c r="A198" s="49"/>
      <c r="B198" s="49"/>
      <c r="C198" s="49"/>
      <c r="D198" s="49"/>
      <c r="E198" s="49"/>
      <c r="F198" s="54"/>
      <c r="G198" s="54"/>
      <c r="H198" s="54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x14ac:dyDescent="0.2">
      <c r="A199" s="49"/>
      <c r="B199" s="49"/>
      <c r="C199" s="49"/>
      <c r="D199" s="49"/>
      <c r="E199" s="49"/>
      <c r="F199" s="54"/>
      <c r="G199" s="54"/>
      <c r="H199" s="54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x14ac:dyDescent="0.2">
      <c r="A200" s="49"/>
      <c r="B200" s="49"/>
      <c r="C200" s="49"/>
      <c r="D200" s="49"/>
      <c r="E200" s="49"/>
      <c r="F200" s="54"/>
      <c r="G200" s="54"/>
      <c r="H200" s="54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x14ac:dyDescent="0.2">
      <c r="A201" s="49"/>
      <c r="B201" s="49"/>
      <c r="C201" s="49"/>
      <c r="D201" s="49"/>
      <c r="E201" s="49"/>
      <c r="F201" s="54"/>
      <c r="G201" s="54"/>
      <c r="H201" s="54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x14ac:dyDescent="0.2">
      <c r="A202" s="49"/>
      <c r="B202" s="49"/>
      <c r="C202" s="49"/>
      <c r="D202" s="49"/>
      <c r="E202" s="49"/>
      <c r="F202" s="54"/>
      <c r="G202" s="54"/>
      <c r="H202" s="54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x14ac:dyDescent="0.2">
      <c r="A203" s="49"/>
      <c r="B203" s="49"/>
      <c r="C203" s="49"/>
      <c r="D203" s="49"/>
      <c r="E203" s="49"/>
      <c r="F203" s="54"/>
      <c r="G203" s="54"/>
      <c r="H203" s="54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x14ac:dyDescent="0.2">
      <c r="A204" s="49"/>
      <c r="B204" s="49"/>
      <c r="C204" s="49"/>
      <c r="D204" s="49"/>
      <c r="E204" s="49"/>
      <c r="F204" s="54"/>
      <c r="G204" s="54"/>
      <c r="H204" s="54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x14ac:dyDescent="0.2">
      <c r="A205" s="49"/>
      <c r="B205" s="49"/>
      <c r="C205" s="49"/>
      <c r="D205" s="49"/>
      <c r="E205" s="49"/>
      <c r="F205" s="54"/>
      <c r="G205" s="54"/>
      <c r="H205" s="54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x14ac:dyDescent="0.2">
      <c r="A206" s="49"/>
      <c r="B206" s="49"/>
      <c r="C206" s="49"/>
      <c r="D206" s="49"/>
      <c r="E206" s="49"/>
      <c r="F206" s="54"/>
      <c r="G206" s="54"/>
      <c r="H206" s="54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x14ac:dyDescent="0.2">
      <c r="A207" s="49"/>
      <c r="B207" s="49"/>
      <c r="C207" s="49"/>
      <c r="D207" s="49"/>
      <c r="E207" s="49"/>
      <c r="F207" s="54"/>
      <c r="G207" s="54"/>
      <c r="H207" s="54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x14ac:dyDescent="0.2">
      <c r="A208" s="49"/>
      <c r="B208" s="49"/>
      <c r="C208" s="49"/>
      <c r="D208" s="49"/>
      <c r="E208" s="49"/>
      <c r="F208" s="54"/>
      <c r="G208" s="54"/>
      <c r="H208" s="54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x14ac:dyDescent="0.2">
      <c r="A209" s="49"/>
      <c r="B209" s="49"/>
      <c r="C209" s="49"/>
      <c r="D209" s="49"/>
      <c r="E209" s="49"/>
      <c r="F209" s="54"/>
      <c r="G209" s="54"/>
      <c r="H209" s="54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x14ac:dyDescent="0.2">
      <c r="A210" s="49"/>
      <c r="B210" s="49"/>
      <c r="C210" s="49"/>
      <c r="D210" s="49"/>
      <c r="E210" s="49"/>
      <c r="F210" s="54"/>
      <c r="G210" s="54"/>
      <c r="H210" s="54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x14ac:dyDescent="0.2">
      <c r="A211" s="49"/>
      <c r="B211" s="49"/>
      <c r="C211" s="49"/>
      <c r="D211" s="49"/>
      <c r="E211" s="49"/>
      <c r="F211" s="54"/>
      <c r="G211" s="54"/>
      <c r="H211" s="54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x14ac:dyDescent="0.2">
      <c r="A212" s="49"/>
      <c r="B212" s="49"/>
      <c r="C212" s="49"/>
      <c r="D212" s="49"/>
      <c r="E212" s="49"/>
      <c r="F212" s="54"/>
      <c r="G212" s="54"/>
      <c r="H212" s="54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x14ac:dyDescent="0.2">
      <c r="A213" s="49"/>
      <c r="B213" s="49"/>
      <c r="C213" s="49"/>
      <c r="D213" s="49"/>
      <c r="E213" s="49"/>
      <c r="F213" s="54"/>
      <c r="G213" s="54"/>
      <c r="H213" s="54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x14ac:dyDescent="0.2">
      <c r="A214" s="49"/>
      <c r="B214" s="49"/>
      <c r="C214" s="49"/>
      <c r="D214" s="49"/>
      <c r="E214" s="49"/>
      <c r="F214" s="54"/>
      <c r="G214" s="54"/>
      <c r="H214" s="54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x14ac:dyDescent="0.2">
      <c r="A215" s="49"/>
      <c r="B215" s="49"/>
      <c r="C215" s="49"/>
      <c r="D215" s="49"/>
      <c r="E215" s="49"/>
      <c r="F215" s="54"/>
      <c r="G215" s="54"/>
      <c r="H215" s="54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x14ac:dyDescent="0.2">
      <c r="A216" s="49"/>
      <c r="B216" s="49"/>
      <c r="C216" s="49"/>
      <c r="D216" s="49"/>
      <c r="E216" s="49"/>
      <c r="F216" s="54"/>
      <c r="G216" s="54"/>
      <c r="H216" s="54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x14ac:dyDescent="0.2">
      <c r="A217" s="49"/>
      <c r="B217" s="49"/>
      <c r="C217" s="49"/>
      <c r="D217" s="49"/>
      <c r="E217" s="49"/>
      <c r="F217" s="54"/>
      <c r="G217" s="54"/>
      <c r="H217" s="54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x14ac:dyDescent="0.2">
      <c r="A218" s="49"/>
      <c r="B218" s="49"/>
      <c r="C218" s="49"/>
      <c r="D218" s="49"/>
      <c r="E218" s="49"/>
      <c r="F218" s="54"/>
      <c r="G218" s="54"/>
      <c r="H218" s="54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x14ac:dyDescent="0.2">
      <c r="A219" s="49"/>
      <c r="B219" s="49"/>
      <c r="C219" s="49"/>
      <c r="D219" s="49"/>
      <c r="E219" s="49"/>
      <c r="F219" s="54"/>
      <c r="G219" s="54"/>
      <c r="H219" s="54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x14ac:dyDescent="0.2">
      <c r="A220" s="49"/>
      <c r="B220" s="49"/>
      <c r="C220" s="49"/>
      <c r="D220" s="49"/>
      <c r="E220" s="49"/>
      <c r="F220" s="54"/>
      <c r="G220" s="54"/>
      <c r="H220" s="54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x14ac:dyDescent="0.2">
      <c r="A221" s="49"/>
      <c r="B221" s="49"/>
      <c r="C221" s="49"/>
      <c r="D221" s="49"/>
      <c r="E221" s="49"/>
      <c r="F221" s="54"/>
      <c r="G221" s="54"/>
      <c r="H221" s="54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x14ac:dyDescent="0.2">
      <c r="A222" s="49"/>
      <c r="B222" s="49"/>
      <c r="C222" s="49"/>
      <c r="D222" s="49"/>
      <c r="E222" s="49"/>
      <c r="F222" s="54"/>
      <c r="G222" s="54"/>
      <c r="H222" s="54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x14ac:dyDescent="0.2">
      <c r="A223" s="49"/>
      <c r="B223" s="49"/>
      <c r="C223" s="49"/>
      <c r="D223" s="49"/>
      <c r="E223" s="49"/>
      <c r="F223" s="54"/>
      <c r="G223" s="54"/>
      <c r="H223" s="54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x14ac:dyDescent="0.2">
      <c r="A224" s="49"/>
      <c r="B224" s="49"/>
      <c r="C224" s="49"/>
      <c r="D224" s="49"/>
      <c r="E224" s="49"/>
      <c r="F224" s="54"/>
      <c r="G224" s="54"/>
      <c r="H224" s="54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x14ac:dyDescent="0.2">
      <c r="A225" s="49"/>
      <c r="B225" s="49"/>
      <c r="C225" s="49"/>
      <c r="D225" s="49"/>
      <c r="E225" s="49"/>
      <c r="F225" s="54"/>
      <c r="G225" s="54"/>
      <c r="H225" s="54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x14ac:dyDescent="0.2">
      <c r="A226" s="49"/>
      <c r="B226" s="49"/>
      <c r="C226" s="49"/>
      <c r="D226" s="49"/>
      <c r="E226" s="49"/>
      <c r="F226" s="54"/>
      <c r="G226" s="54"/>
      <c r="H226" s="54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x14ac:dyDescent="0.2">
      <c r="A227" s="49"/>
      <c r="B227" s="49"/>
      <c r="C227" s="49"/>
      <c r="D227" s="49"/>
      <c r="E227" s="49"/>
      <c r="F227" s="54"/>
      <c r="G227" s="54"/>
      <c r="H227" s="54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x14ac:dyDescent="0.2">
      <c r="A228" s="49"/>
      <c r="B228" s="49"/>
      <c r="C228" s="49"/>
      <c r="D228" s="49"/>
      <c r="E228" s="49"/>
      <c r="F228" s="54"/>
      <c r="G228" s="54"/>
      <c r="H228" s="54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x14ac:dyDescent="0.2">
      <c r="A229" s="49"/>
      <c r="B229" s="49"/>
      <c r="C229" s="49"/>
      <c r="D229" s="49"/>
      <c r="E229" s="49"/>
      <c r="F229" s="54"/>
      <c r="G229" s="54"/>
      <c r="H229" s="54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x14ac:dyDescent="0.2">
      <c r="A230" s="49"/>
      <c r="B230" s="49"/>
      <c r="C230" s="49"/>
      <c r="D230" s="49"/>
      <c r="E230" s="49"/>
      <c r="F230" s="54"/>
      <c r="G230" s="54"/>
      <c r="H230" s="54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x14ac:dyDescent="0.2">
      <c r="A231" s="49"/>
      <c r="B231" s="49"/>
      <c r="C231" s="49"/>
      <c r="D231" s="49"/>
      <c r="E231" s="49"/>
      <c r="F231" s="54"/>
      <c r="G231" s="54"/>
      <c r="H231" s="54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x14ac:dyDescent="0.2">
      <c r="A232" s="49"/>
      <c r="B232" s="49"/>
      <c r="C232" s="49"/>
      <c r="D232" s="49"/>
      <c r="E232" s="49"/>
      <c r="F232" s="54"/>
      <c r="G232" s="54"/>
      <c r="H232" s="54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x14ac:dyDescent="0.2">
      <c r="A233" s="49"/>
      <c r="B233" s="49"/>
      <c r="C233" s="49"/>
      <c r="D233" s="49"/>
      <c r="E233" s="49"/>
      <c r="F233" s="54"/>
      <c r="G233" s="54"/>
      <c r="H233" s="54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x14ac:dyDescent="0.2">
      <c r="A234" s="49"/>
      <c r="B234" s="49"/>
      <c r="C234" s="49"/>
      <c r="D234" s="49"/>
      <c r="E234" s="49"/>
      <c r="F234" s="54"/>
      <c r="G234" s="54"/>
      <c r="H234" s="54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x14ac:dyDescent="0.2">
      <c r="A235" s="49"/>
      <c r="B235" s="49"/>
      <c r="C235" s="49"/>
      <c r="D235" s="49"/>
      <c r="E235" s="49"/>
      <c r="F235" s="54"/>
      <c r="G235" s="54"/>
      <c r="H235" s="54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x14ac:dyDescent="0.2">
      <c r="A236" s="49"/>
      <c r="B236" s="49"/>
      <c r="C236" s="49"/>
      <c r="D236" s="49"/>
      <c r="E236" s="49"/>
      <c r="F236" s="54"/>
      <c r="G236" s="54"/>
      <c r="H236" s="54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x14ac:dyDescent="0.2">
      <c r="A237" s="49"/>
      <c r="B237" s="49"/>
      <c r="C237" s="49"/>
      <c r="D237" s="49"/>
      <c r="E237" s="49"/>
      <c r="F237" s="54"/>
      <c r="G237" s="54"/>
      <c r="H237" s="54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x14ac:dyDescent="0.2">
      <c r="A238" s="49"/>
      <c r="B238" s="49"/>
      <c r="C238" s="49"/>
      <c r="D238" s="49"/>
      <c r="E238" s="49"/>
      <c r="F238" s="54"/>
      <c r="G238" s="54"/>
      <c r="H238" s="54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x14ac:dyDescent="0.2">
      <c r="A239" s="49"/>
      <c r="B239" s="49"/>
      <c r="C239" s="49"/>
      <c r="D239" s="49"/>
      <c r="E239" s="49"/>
      <c r="F239" s="54"/>
      <c r="G239" s="54"/>
      <c r="H239" s="54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x14ac:dyDescent="0.2">
      <c r="A240" s="49"/>
      <c r="B240" s="49"/>
      <c r="C240" s="49"/>
      <c r="D240" s="49"/>
      <c r="E240" s="49"/>
      <c r="F240" s="54"/>
      <c r="G240" s="54"/>
      <c r="H240" s="54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x14ac:dyDescent="0.2">
      <c r="A241" s="49"/>
      <c r="B241" s="49"/>
      <c r="C241" s="49"/>
      <c r="D241" s="49"/>
      <c r="E241" s="49"/>
      <c r="F241" s="54"/>
      <c r="G241" s="54"/>
      <c r="H241" s="54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x14ac:dyDescent="0.2">
      <c r="A242" s="49"/>
      <c r="B242" s="49"/>
      <c r="C242" s="49"/>
      <c r="D242" s="49"/>
      <c r="E242" s="49"/>
      <c r="F242" s="54"/>
      <c r="G242" s="54"/>
      <c r="H242" s="54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x14ac:dyDescent="0.2">
      <c r="A243" s="49"/>
      <c r="B243" s="49"/>
      <c r="C243" s="49"/>
      <c r="D243" s="49"/>
      <c r="E243" s="49"/>
      <c r="F243" s="54"/>
      <c r="G243" s="54"/>
      <c r="H243" s="54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x14ac:dyDescent="0.2">
      <c r="A244" s="49"/>
      <c r="B244" s="49"/>
      <c r="C244" s="49"/>
      <c r="D244" s="49"/>
      <c r="E244" s="49"/>
      <c r="F244" s="54"/>
      <c r="G244" s="54"/>
      <c r="H244" s="54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x14ac:dyDescent="0.2">
      <c r="A245" s="49"/>
      <c r="B245" s="49"/>
      <c r="C245" s="49"/>
      <c r="D245" s="49"/>
      <c r="E245" s="49"/>
      <c r="F245" s="54"/>
      <c r="G245" s="54"/>
      <c r="H245" s="54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x14ac:dyDescent="0.2">
      <c r="A246" s="49"/>
      <c r="B246" s="49"/>
      <c r="C246" s="49"/>
      <c r="D246" s="49"/>
      <c r="E246" s="49"/>
      <c r="F246" s="54"/>
      <c r="G246" s="54"/>
      <c r="H246" s="54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x14ac:dyDescent="0.2">
      <c r="A247" s="49"/>
      <c r="B247" s="49"/>
      <c r="C247" s="49"/>
      <c r="D247" s="49"/>
      <c r="E247" s="49"/>
      <c r="F247" s="54"/>
      <c r="G247" s="54"/>
      <c r="H247" s="54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x14ac:dyDescent="0.2">
      <c r="A248" s="49"/>
      <c r="B248" s="49"/>
      <c r="C248" s="49"/>
      <c r="D248" s="49"/>
      <c r="E248" s="49"/>
      <c r="F248" s="54"/>
      <c r="G248" s="54"/>
      <c r="H248" s="54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x14ac:dyDescent="0.2">
      <c r="A249" s="49"/>
      <c r="B249" s="49"/>
      <c r="C249" s="49"/>
      <c r="D249" s="49"/>
      <c r="E249" s="49"/>
      <c r="F249" s="54"/>
      <c r="G249" s="54"/>
      <c r="H249" s="54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x14ac:dyDescent="0.2">
      <c r="A250" s="49"/>
      <c r="B250" s="49"/>
      <c r="C250" s="49"/>
      <c r="D250" s="49"/>
      <c r="E250" s="49"/>
      <c r="F250" s="54"/>
      <c r="G250" s="54"/>
      <c r="H250" s="54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x14ac:dyDescent="0.2">
      <c r="A251" s="49"/>
      <c r="B251" s="49"/>
      <c r="C251" s="49"/>
      <c r="D251" s="49"/>
      <c r="E251" s="49"/>
      <c r="F251" s="54"/>
      <c r="G251" s="54"/>
      <c r="H251" s="54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x14ac:dyDescent="0.2">
      <c r="A252" s="49"/>
      <c r="B252" s="49"/>
      <c r="C252" s="49"/>
      <c r="D252" s="49"/>
      <c r="E252" s="49"/>
      <c r="F252" s="54"/>
      <c r="G252" s="54"/>
      <c r="H252" s="54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x14ac:dyDescent="0.2">
      <c r="A253" s="49"/>
      <c r="B253" s="49"/>
      <c r="C253" s="49"/>
      <c r="D253" s="49"/>
      <c r="E253" s="49"/>
      <c r="F253" s="54"/>
      <c r="G253" s="54"/>
      <c r="H253" s="54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x14ac:dyDescent="0.2">
      <c r="A254" s="49"/>
      <c r="B254" s="49"/>
      <c r="C254" s="49"/>
      <c r="D254" s="49"/>
      <c r="E254" s="49"/>
      <c r="F254" s="54"/>
      <c r="G254" s="54"/>
      <c r="H254" s="54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x14ac:dyDescent="0.2">
      <c r="A255" s="49"/>
      <c r="B255" s="49"/>
      <c r="C255" s="49"/>
      <c r="D255" s="49"/>
      <c r="E255" s="49"/>
      <c r="F255" s="54"/>
      <c r="G255" s="54"/>
      <c r="H255" s="54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x14ac:dyDescent="0.2">
      <c r="A256" s="49"/>
      <c r="B256" s="49"/>
      <c r="C256" s="49"/>
      <c r="D256" s="49"/>
      <c r="E256" s="49"/>
      <c r="F256" s="54"/>
      <c r="G256" s="54"/>
      <c r="H256" s="54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x14ac:dyDescent="0.2">
      <c r="A257" s="49"/>
      <c r="B257" s="49"/>
      <c r="C257" s="49"/>
      <c r="D257" s="49"/>
      <c r="E257" s="49"/>
      <c r="F257" s="54"/>
      <c r="G257" s="54"/>
      <c r="H257" s="54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x14ac:dyDescent="0.2">
      <c r="A258" s="49"/>
      <c r="B258" s="49"/>
      <c r="C258" s="49"/>
      <c r="D258" s="49"/>
      <c r="E258" s="49"/>
      <c r="F258" s="54"/>
      <c r="G258" s="54"/>
      <c r="H258" s="54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x14ac:dyDescent="0.2">
      <c r="A259" s="49"/>
      <c r="B259" s="49"/>
      <c r="C259" s="49"/>
      <c r="D259" s="49"/>
      <c r="E259" s="49"/>
      <c r="F259" s="54"/>
      <c r="G259" s="54"/>
      <c r="H259" s="54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x14ac:dyDescent="0.2">
      <c r="A260" s="49"/>
      <c r="B260" s="49"/>
      <c r="C260" s="49"/>
      <c r="D260" s="49"/>
      <c r="E260" s="49"/>
      <c r="F260" s="54"/>
      <c r="G260" s="54"/>
      <c r="H260" s="54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x14ac:dyDescent="0.2">
      <c r="A261" s="49"/>
      <c r="B261" s="49"/>
      <c r="C261" s="49"/>
      <c r="D261" s="49"/>
      <c r="E261" s="49"/>
      <c r="F261" s="54"/>
      <c r="G261" s="54"/>
      <c r="H261" s="54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x14ac:dyDescent="0.2">
      <c r="A262" s="49"/>
      <c r="B262" s="49"/>
      <c r="C262" s="49"/>
      <c r="D262" s="49"/>
      <c r="E262" s="49"/>
      <c r="F262" s="54"/>
      <c r="G262" s="54"/>
      <c r="H262" s="54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x14ac:dyDescent="0.2">
      <c r="A263" s="49"/>
      <c r="B263" s="49"/>
      <c r="C263" s="49"/>
      <c r="D263" s="49"/>
      <c r="E263" s="49"/>
      <c r="F263" s="54"/>
      <c r="G263" s="54"/>
      <c r="H263" s="54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x14ac:dyDescent="0.2">
      <c r="A264" s="49"/>
      <c r="B264" s="49"/>
      <c r="C264" s="49"/>
      <c r="D264" s="49"/>
      <c r="E264" s="49"/>
      <c r="F264" s="54"/>
      <c r="G264" s="54"/>
      <c r="H264" s="54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x14ac:dyDescent="0.2">
      <c r="A265" s="49"/>
      <c r="B265" s="49"/>
      <c r="C265" s="49"/>
      <c r="D265" s="49"/>
      <c r="E265" s="49"/>
      <c r="F265" s="54"/>
      <c r="G265" s="54"/>
      <c r="H265" s="54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x14ac:dyDescent="0.2">
      <c r="A266" s="49"/>
      <c r="B266" s="49"/>
      <c r="C266" s="49"/>
      <c r="D266" s="49"/>
      <c r="E266" s="49"/>
      <c r="F266" s="54"/>
      <c r="G266" s="54"/>
      <c r="H266" s="54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x14ac:dyDescent="0.2">
      <c r="A267" s="49"/>
      <c r="B267" s="49"/>
      <c r="C267" s="49"/>
      <c r="D267" s="49"/>
      <c r="E267" s="49"/>
      <c r="F267" s="54"/>
      <c r="G267" s="54"/>
      <c r="H267" s="54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x14ac:dyDescent="0.2">
      <c r="A268" s="49"/>
      <c r="B268" s="49"/>
      <c r="C268" s="49"/>
      <c r="D268" s="49"/>
      <c r="E268" s="49"/>
      <c r="F268" s="54"/>
      <c r="G268" s="54"/>
      <c r="H268" s="54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x14ac:dyDescent="0.2">
      <c r="A269" s="49"/>
      <c r="B269" s="49"/>
      <c r="C269" s="49"/>
      <c r="D269" s="49"/>
      <c r="E269" s="49"/>
      <c r="F269" s="54"/>
      <c r="G269" s="54"/>
      <c r="H269" s="54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x14ac:dyDescent="0.2">
      <c r="A270" s="49"/>
      <c r="B270" s="49"/>
      <c r="C270" s="49"/>
      <c r="D270" s="49"/>
      <c r="E270" s="49"/>
      <c r="F270" s="54"/>
      <c r="G270" s="54"/>
      <c r="H270" s="54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x14ac:dyDescent="0.2">
      <c r="A271" s="49"/>
      <c r="B271" s="49"/>
      <c r="C271" s="49"/>
      <c r="D271" s="49"/>
      <c r="E271" s="49"/>
      <c r="F271" s="54"/>
      <c r="G271" s="54"/>
      <c r="H271" s="54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x14ac:dyDescent="0.2">
      <c r="A272" s="49"/>
      <c r="B272" s="49"/>
      <c r="C272" s="49"/>
      <c r="D272" s="49"/>
      <c r="E272" s="49"/>
      <c r="F272" s="54"/>
      <c r="G272" s="54"/>
      <c r="H272" s="54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x14ac:dyDescent="0.2">
      <c r="A273" s="49"/>
      <c r="B273" s="49"/>
      <c r="C273" s="49"/>
      <c r="D273" s="49"/>
      <c r="E273" s="49"/>
      <c r="F273" s="54"/>
      <c r="G273" s="54"/>
      <c r="H273" s="54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x14ac:dyDescent="0.2">
      <c r="A274" s="49"/>
      <c r="B274" s="49"/>
      <c r="C274" s="49"/>
      <c r="D274" s="49"/>
      <c r="E274" s="49"/>
      <c r="F274" s="54"/>
      <c r="G274" s="54"/>
      <c r="H274" s="54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x14ac:dyDescent="0.2">
      <c r="A275" s="49"/>
      <c r="B275" s="49"/>
      <c r="C275" s="49"/>
      <c r="D275" s="49"/>
      <c r="E275" s="49"/>
      <c r="F275" s="54"/>
      <c r="G275" s="54"/>
      <c r="H275" s="54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x14ac:dyDescent="0.2">
      <c r="A276" s="49"/>
      <c r="B276" s="49"/>
      <c r="C276" s="49"/>
      <c r="D276" s="49"/>
      <c r="E276" s="49"/>
      <c r="F276" s="54"/>
      <c r="G276" s="54"/>
      <c r="H276" s="54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x14ac:dyDescent="0.2">
      <c r="A277" s="49"/>
      <c r="B277" s="49"/>
      <c r="C277" s="49"/>
      <c r="D277" s="49"/>
      <c r="E277" s="49"/>
      <c r="F277" s="54"/>
      <c r="G277" s="54"/>
      <c r="H277" s="54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x14ac:dyDescent="0.2">
      <c r="A278" s="49"/>
      <c r="B278" s="49"/>
      <c r="C278" s="49"/>
      <c r="D278" s="49"/>
      <c r="E278" s="49"/>
      <c r="F278" s="54"/>
      <c r="G278" s="54"/>
      <c r="H278" s="54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x14ac:dyDescent="0.2">
      <c r="A279" s="49"/>
      <c r="B279" s="49"/>
      <c r="C279" s="49"/>
      <c r="D279" s="49"/>
      <c r="E279" s="49"/>
      <c r="F279" s="54"/>
      <c r="G279" s="54"/>
      <c r="H279" s="54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x14ac:dyDescent="0.2">
      <c r="A280" s="49"/>
      <c r="B280" s="49"/>
      <c r="C280" s="49"/>
      <c r="D280" s="49"/>
      <c r="E280" s="49"/>
      <c r="F280" s="54"/>
      <c r="G280" s="54"/>
      <c r="H280" s="54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x14ac:dyDescent="0.2">
      <c r="A281" s="49"/>
      <c r="B281" s="49"/>
      <c r="C281" s="49"/>
      <c r="D281" s="49"/>
      <c r="E281" s="49"/>
      <c r="F281" s="54"/>
      <c r="G281" s="54"/>
      <c r="H281" s="54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x14ac:dyDescent="0.2">
      <c r="A282" s="49"/>
      <c r="B282" s="49"/>
      <c r="C282" s="49"/>
      <c r="D282" s="49"/>
      <c r="E282" s="49"/>
      <c r="F282" s="54"/>
      <c r="G282" s="54"/>
      <c r="H282" s="54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x14ac:dyDescent="0.2">
      <c r="A283" s="49"/>
      <c r="B283" s="49"/>
      <c r="C283" s="49"/>
      <c r="D283" s="49"/>
      <c r="E283" s="49"/>
      <c r="F283" s="54"/>
      <c r="G283" s="54"/>
      <c r="H283" s="54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x14ac:dyDescent="0.2">
      <c r="A284" s="49"/>
      <c r="B284" s="49"/>
      <c r="C284" s="49"/>
      <c r="D284" s="49"/>
      <c r="E284" s="49"/>
      <c r="F284" s="54"/>
      <c r="G284" s="54"/>
      <c r="H284" s="54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x14ac:dyDescent="0.2">
      <c r="A285" s="49"/>
      <c r="B285" s="49"/>
      <c r="C285" s="49"/>
      <c r="D285" s="49"/>
      <c r="E285" s="49"/>
      <c r="F285" s="54"/>
      <c r="G285" s="54"/>
      <c r="H285" s="54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x14ac:dyDescent="0.2">
      <c r="A286" s="49"/>
      <c r="B286" s="49"/>
      <c r="C286" s="49"/>
      <c r="D286" s="49"/>
      <c r="E286" s="49"/>
      <c r="F286" s="54"/>
      <c r="G286" s="54"/>
      <c r="H286" s="54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x14ac:dyDescent="0.2">
      <c r="A287" s="49"/>
      <c r="B287" s="49"/>
      <c r="C287" s="49"/>
      <c r="D287" s="49"/>
      <c r="E287" s="49"/>
      <c r="F287" s="54"/>
      <c r="G287" s="54"/>
      <c r="H287" s="54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x14ac:dyDescent="0.2">
      <c r="A288" s="49"/>
      <c r="B288" s="49"/>
      <c r="C288" s="49"/>
      <c r="D288" s="49"/>
      <c r="E288" s="49"/>
      <c r="F288" s="54"/>
      <c r="G288" s="54"/>
      <c r="H288" s="54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x14ac:dyDescent="0.2">
      <c r="A289" s="49"/>
      <c r="B289" s="49"/>
      <c r="C289" s="49"/>
      <c r="D289" s="49"/>
      <c r="E289" s="49"/>
      <c r="F289" s="54"/>
      <c r="G289" s="54"/>
      <c r="H289" s="54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x14ac:dyDescent="0.2">
      <c r="A290" s="49"/>
      <c r="B290" s="49"/>
      <c r="C290" s="49"/>
      <c r="D290" s="49"/>
      <c r="E290" s="49"/>
      <c r="F290" s="54"/>
      <c r="G290" s="54"/>
      <c r="H290" s="54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x14ac:dyDescent="0.2">
      <c r="A291" s="49"/>
      <c r="B291" s="49"/>
      <c r="C291" s="49"/>
      <c r="D291" s="49"/>
      <c r="E291" s="49"/>
      <c r="F291" s="54"/>
      <c r="G291" s="54"/>
      <c r="H291" s="54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x14ac:dyDescent="0.2">
      <c r="A292" s="49"/>
      <c r="B292" s="49"/>
      <c r="C292" s="49"/>
      <c r="D292" s="49"/>
      <c r="E292" s="49"/>
      <c r="F292" s="54"/>
      <c r="G292" s="54"/>
      <c r="H292" s="54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x14ac:dyDescent="0.2">
      <c r="A293" s="49"/>
      <c r="B293" s="49"/>
      <c r="C293" s="49"/>
      <c r="D293" s="49"/>
      <c r="E293" s="49"/>
      <c r="F293" s="54"/>
      <c r="G293" s="54"/>
      <c r="H293" s="54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x14ac:dyDescent="0.2">
      <c r="A294" s="49"/>
      <c r="B294" s="49"/>
      <c r="C294" s="49"/>
      <c r="D294" s="49"/>
      <c r="E294" s="49"/>
      <c r="F294" s="54"/>
      <c r="G294" s="54"/>
      <c r="H294" s="54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x14ac:dyDescent="0.2">
      <c r="A295" s="49"/>
      <c r="B295" s="49"/>
      <c r="C295" s="49"/>
      <c r="D295" s="49"/>
      <c r="E295" s="49"/>
      <c r="F295" s="54"/>
      <c r="G295" s="54"/>
      <c r="H295" s="54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x14ac:dyDescent="0.2">
      <c r="A296" s="49"/>
      <c r="B296" s="49"/>
      <c r="C296" s="49"/>
      <c r="D296" s="49"/>
      <c r="E296" s="49"/>
      <c r="F296" s="54"/>
      <c r="G296" s="54"/>
      <c r="H296" s="54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x14ac:dyDescent="0.2">
      <c r="A297" s="49"/>
      <c r="B297" s="49"/>
      <c r="C297" s="49"/>
      <c r="D297" s="49"/>
      <c r="E297" s="49"/>
      <c r="F297" s="54"/>
      <c r="G297" s="54"/>
      <c r="H297" s="54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x14ac:dyDescent="0.2">
      <c r="A298" s="49"/>
      <c r="B298" s="49"/>
      <c r="C298" s="49"/>
      <c r="D298" s="49"/>
      <c r="E298" s="49"/>
      <c r="F298" s="54"/>
      <c r="G298" s="54"/>
      <c r="H298" s="54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x14ac:dyDescent="0.2">
      <c r="A299" s="49"/>
      <c r="B299" s="49"/>
      <c r="C299" s="49"/>
      <c r="D299" s="49"/>
      <c r="E299" s="49"/>
      <c r="F299" s="54"/>
      <c r="G299" s="54"/>
      <c r="H299" s="54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x14ac:dyDescent="0.2">
      <c r="A300" s="49"/>
      <c r="B300" s="49"/>
      <c r="C300" s="49"/>
      <c r="D300" s="49"/>
      <c r="E300" s="49"/>
      <c r="F300" s="54"/>
      <c r="G300" s="54"/>
      <c r="H300" s="54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x14ac:dyDescent="0.2">
      <c r="A301" s="49"/>
      <c r="B301" s="49"/>
      <c r="C301" s="49"/>
      <c r="D301" s="49"/>
      <c r="E301" s="49"/>
      <c r="F301" s="54"/>
      <c r="G301" s="54"/>
      <c r="H301" s="54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x14ac:dyDescent="0.2">
      <c r="A302" s="49"/>
      <c r="B302" s="49"/>
      <c r="C302" s="49"/>
      <c r="D302" s="49"/>
      <c r="E302" s="49"/>
      <c r="F302" s="54"/>
      <c r="G302" s="54"/>
      <c r="H302" s="54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x14ac:dyDescent="0.2">
      <c r="A303" s="49"/>
      <c r="B303" s="49"/>
      <c r="C303" s="49"/>
      <c r="D303" s="49"/>
      <c r="E303" s="49"/>
      <c r="F303" s="54"/>
      <c r="G303" s="54"/>
      <c r="H303" s="54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x14ac:dyDescent="0.2">
      <c r="A304" s="49"/>
      <c r="B304" s="49"/>
      <c r="C304" s="49"/>
      <c r="D304" s="49"/>
      <c r="E304" s="49"/>
      <c r="F304" s="54"/>
      <c r="G304" s="54"/>
      <c r="H304" s="54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x14ac:dyDescent="0.2">
      <c r="A305" s="49"/>
      <c r="B305" s="49"/>
      <c r="C305" s="49"/>
      <c r="D305" s="49"/>
      <c r="E305" s="49"/>
      <c r="F305" s="54"/>
      <c r="G305" s="54"/>
      <c r="H305" s="54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x14ac:dyDescent="0.2">
      <c r="A306" s="49"/>
      <c r="B306" s="49"/>
      <c r="C306" s="49"/>
      <c r="D306" s="49"/>
      <c r="E306" s="49"/>
      <c r="F306" s="54"/>
      <c r="G306" s="54"/>
      <c r="H306" s="54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x14ac:dyDescent="0.2">
      <c r="A307" s="49"/>
      <c r="B307" s="49"/>
      <c r="C307" s="49"/>
      <c r="D307" s="49"/>
      <c r="E307" s="49"/>
      <c r="F307" s="54"/>
      <c r="G307" s="54"/>
      <c r="H307" s="54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x14ac:dyDescent="0.2">
      <c r="A308" s="49"/>
      <c r="B308" s="49"/>
      <c r="C308" s="49"/>
      <c r="D308" s="49"/>
      <c r="E308" s="49"/>
      <c r="F308" s="54"/>
      <c r="G308" s="54"/>
      <c r="H308" s="54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x14ac:dyDescent="0.2">
      <c r="A309" s="49"/>
      <c r="B309" s="49"/>
      <c r="C309" s="49"/>
      <c r="D309" s="49"/>
      <c r="E309" s="49"/>
      <c r="F309" s="54"/>
      <c r="G309" s="54"/>
      <c r="H309" s="54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x14ac:dyDescent="0.2">
      <c r="A310" s="49"/>
      <c r="B310" s="49"/>
      <c r="C310" s="49"/>
      <c r="D310" s="49"/>
      <c r="E310" s="49"/>
      <c r="F310" s="54"/>
      <c r="G310" s="54"/>
      <c r="H310" s="54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x14ac:dyDescent="0.2">
      <c r="A311" s="49"/>
      <c r="B311" s="49"/>
      <c r="C311" s="49"/>
      <c r="D311" s="49"/>
      <c r="E311" s="49"/>
      <c r="F311" s="54"/>
      <c r="G311" s="54"/>
      <c r="H311" s="54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x14ac:dyDescent="0.2">
      <c r="A312" s="49"/>
      <c r="B312" s="49"/>
      <c r="C312" s="49"/>
      <c r="D312" s="49"/>
      <c r="E312" s="49"/>
      <c r="F312" s="54"/>
      <c r="G312" s="54"/>
      <c r="H312" s="54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x14ac:dyDescent="0.2">
      <c r="A313" s="49"/>
      <c r="B313" s="49"/>
      <c r="C313" s="49"/>
      <c r="D313" s="49"/>
      <c r="E313" s="49"/>
      <c r="F313" s="54"/>
      <c r="G313" s="54"/>
      <c r="H313" s="54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x14ac:dyDescent="0.2">
      <c r="A314" s="49"/>
      <c r="B314" s="49"/>
      <c r="C314" s="49"/>
      <c r="D314" s="49"/>
      <c r="E314" s="49"/>
      <c r="F314" s="54"/>
      <c r="G314" s="54"/>
      <c r="H314" s="54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x14ac:dyDescent="0.2">
      <c r="A315" s="49"/>
      <c r="B315" s="49"/>
      <c r="C315" s="49"/>
      <c r="D315" s="49"/>
      <c r="E315" s="49"/>
      <c r="F315" s="54"/>
      <c r="G315" s="54"/>
      <c r="H315" s="54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x14ac:dyDescent="0.2">
      <c r="A316" s="49"/>
      <c r="B316" s="49"/>
      <c r="C316" s="49"/>
      <c r="D316" s="49"/>
      <c r="E316" s="49"/>
      <c r="F316" s="54"/>
      <c r="G316" s="54"/>
      <c r="H316" s="54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x14ac:dyDescent="0.2">
      <c r="A317" s="49"/>
      <c r="B317" s="49"/>
      <c r="C317" s="49"/>
      <c r="D317" s="49"/>
      <c r="E317" s="49"/>
      <c r="F317" s="54"/>
      <c r="G317" s="54"/>
      <c r="H317" s="54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x14ac:dyDescent="0.2">
      <c r="A318" s="49"/>
      <c r="B318" s="49"/>
      <c r="C318" s="49"/>
      <c r="D318" s="49"/>
      <c r="E318" s="49"/>
      <c r="F318" s="54"/>
      <c r="G318" s="54"/>
      <c r="H318" s="54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x14ac:dyDescent="0.2">
      <c r="A319" s="49"/>
      <c r="B319" s="49"/>
      <c r="C319" s="49"/>
      <c r="D319" s="49"/>
      <c r="E319" s="49"/>
      <c r="F319" s="54"/>
      <c r="G319" s="54"/>
      <c r="H319" s="54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x14ac:dyDescent="0.2">
      <c r="A320" s="49"/>
      <c r="B320" s="49"/>
      <c r="C320" s="49"/>
      <c r="D320" s="49"/>
      <c r="E320" s="49"/>
      <c r="F320" s="54"/>
      <c r="G320" s="54"/>
      <c r="H320" s="54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x14ac:dyDescent="0.2">
      <c r="A321" s="49"/>
      <c r="B321" s="49"/>
      <c r="C321" s="49"/>
      <c r="D321" s="49"/>
      <c r="E321" s="49"/>
      <c r="F321" s="54"/>
      <c r="G321" s="54"/>
      <c r="H321" s="54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x14ac:dyDescent="0.2">
      <c r="A322" s="49"/>
      <c r="B322" s="49"/>
      <c r="C322" s="49"/>
      <c r="D322" s="49"/>
      <c r="E322" s="49"/>
      <c r="F322" s="54"/>
      <c r="G322" s="54"/>
      <c r="H322" s="54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x14ac:dyDescent="0.2">
      <c r="A323" s="49"/>
      <c r="B323" s="49"/>
      <c r="C323" s="49"/>
      <c r="D323" s="49"/>
      <c r="E323" s="49"/>
      <c r="F323" s="54"/>
      <c r="G323" s="54"/>
      <c r="H323" s="54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x14ac:dyDescent="0.2">
      <c r="A324" s="49"/>
      <c r="B324" s="49"/>
      <c r="C324" s="49"/>
      <c r="D324" s="49"/>
      <c r="E324" s="49"/>
      <c r="F324" s="54"/>
      <c r="G324" s="54"/>
      <c r="H324" s="54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x14ac:dyDescent="0.2">
      <c r="A325" s="49"/>
      <c r="B325" s="49"/>
      <c r="C325" s="49"/>
      <c r="D325" s="49"/>
      <c r="E325" s="49"/>
      <c r="F325" s="54"/>
      <c r="G325" s="54"/>
      <c r="H325" s="54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x14ac:dyDescent="0.2">
      <c r="A326" s="49"/>
      <c r="B326" s="49"/>
      <c r="C326" s="49"/>
      <c r="D326" s="49"/>
      <c r="E326" s="49"/>
      <c r="F326" s="54"/>
      <c r="G326" s="54"/>
      <c r="H326" s="54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x14ac:dyDescent="0.2">
      <c r="A327" s="49"/>
      <c r="B327" s="49"/>
      <c r="C327" s="49"/>
      <c r="D327" s="49"/>
      <c r="E327" s="49"/>
      <c r="F327" s="54"/>
      <c r="G327" s="54"/>
      <c r="H327" s="54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x14ac:dyDescent="0.2">
      <c r="A328" s="49"/>
      <c r="B328" s="49"/>
      <c r="C328" s="49"/>
      <c r="D328" s="49"/>
      <c r="E328" s="49"/>
      <c r="F328" s="54"/>
      <c r="G328" s="54"/>
      <c r="H328" s="54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x14ac:dyDescent="0.2">
      <c r="A329" s="49"/>
      <c r="B329" s="49"/>
      <c r="C329" s="49"/>
      <c r="D329" s="49"/>
      <c r="E329" s="49"/>
      <c r="F329" s="54"/>
      <c r="G329" s="54"/>
      <c r="H329" s="54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x14ac:dyDescent="0.2">
      <c r="A330" s="49"/>
      <c r="B330" s="49"/>
      <c r="C330" s="49"/>
      <c r="D330" s="49"/>
      <c r="E330" s="49"/>
      <c r="F330" s="54"/>
      <c r="G330" s="54"/>
      <c r="H330" s="54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x14ac:dyDescent="0.2">
      <c r="A331" s="49"/>
      <c r="B331" s="49"/>
      <c r="C331" s="49"/>
      <c r="D331" s="49"/>
      <c r="E331" s="49"/>
      <c r="F331" s="54"/>
      <c r="G331" s="54"/>
      <c r="H331" s="54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x14ac:dyDescent="0.2">
      <c r="A332" s="49"/>
      <c r="B332" s="49"/>
      <c r="C332" s="49"/>
      <c r="D332" s="49"/>
      <c r="E332" s="49"/>
      <c r="F332" s="54"/>
      <c r="G332" s="54"/>
      <c r="H332" s="54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x14ac:dyDescent="0.2">
      <c r="A333" s="49"/>
      <c r="B333" s="49"/>
      <c r="C333" s="49"/>
      <c r="D333" s="49"/>
      <c r="E333" s="49"/>
      <c r="F333" s="54"/>
      <c r="G333" s="54"/>
      <c r="H333" s="54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x14ac:dyDescent="0.2">
      <c r="A334" s="49"/>
      <c r="B334" s="49"/>
      <c r="C334" s="49"/>
      <c r="D334" s="49"/>
      <c r="E334" s="49"/>
      <c r="F334" s="54"/>
      <c r="G334" s="54"/>
      <c r="H334" s="54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x14ac:dyDescent="0.2">
      <c r="A335" s="49"/>
      <c r="B335" s="49"/>
      <c r="C335" s="49"/>
      <c r="D335" s="49"/>
      <c r="E335" s="49"/>
      <c r="F335" s="54"/>
      <c r="G335" s="54"/>
      <c r="H335" s="54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x14ac:dyDescent="0.2">
      <c r="A336" s="49"/>
      <c r="B336" s="49"/>
      <c r="C336" s="49"/>
      <c r="D336" s="49"/>
      <c r="E336" s="49"/>
      <c r="F336" s="54"/>
      <c r="G336" s="54"/>
      <c r="H336" s="54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x14ac:dyDescent="0.2">
      <c r="A337" s="49"/>
      <c r="B337" s="49"/>
      <c r="C337" s="49"/>
      <c r="D337" s="49"/>
      <c r="E337" s="49"/>
      <c r="F337" s="54"/>
      <c r="G337" s="54"/>
      <c r="H337" s="54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x14ac:dyDescent="0.2">
      <c r="A338" s="49"/>
      <c r="B338" s="49"/>
      <c r="C338" s="49"/>
      <c r="D338" s="49"/>
      <c r="E338" s="49"/>
      <c r="F338" s="54"/>
      <c r="G338" s="54"/>
      <c r="H338" s="54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x14ac:dyDescent="0.2">
      <c r="A339" s="49"/>
      <c r="B339" s="49"/>
      <c r="C339" s="49"/>
      <c r="D339" s="49"/>
      <c r="E339" s="49"/>
      <c r="F339" s="54"/>
      <c r="G339" s="54"/>
      <c r="H339" s="54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x14ac:dyDescent="0.2">
      <c r="A340" s="49"/>
      <c r="B340" s="49"/>
      <c r="C340" s="49"/>
      <c r="D340" s="49"/>
      <c r="E340" s="49"/>
      <c r="F340" s="54"/>
      <c r="G340" s="54"/>
      <c r="H340" s="54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x14ac:dyDescent="0.2">
      <c r="A341" s="49"/>
      <c r="B341" s="49"/>
      <c r="C341" s="49"/>
      <c r="D341" s="49"/>
      <c r="E341" s="49"/>
      <c r="F341" s="54"/>
      <c r="G341" s="54"/>
      <c r="H341" s="54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x14ac:dyDescent="0.2">
      <c r="A342" s="49"/>
      <c r="B342" s="49"/>
      <c r="C342" s="49"/>
      <c r="D342" s="49"/>
      <c r="E342" s="49"/>
      <c r="F342" s="54"/>
      <c r="G342" s="54"/>
      <c r="H342" s="54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x14ac:dyDescent="0.2">
      <c r="A343" s="49"/>
      <c r="B343" s="49"/>
      <c r="C343" s="49"/>
      <c r="D343" s="49"/>
      <c r="E343" s="49"/>
      <c r="F343" s="54"/>
      <c r="G343" s="54"/>
      <c r="H343" s="54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x14ac:dyDescent="0.2">
      <c r="A344" s="49"/>
      <c r="B344" s="49"/>
      <c r="C344" s="49"/>
      <c r="D344" s="49"/>
      <c r="E344" s="49"/>
      <c r="F344" s="54"/>
      <c r="G344" s="54"/>
      <c r="H344" s="54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x14ac:dyDescent="0.2">
      <c r="A345" s="49"/>
      <c r="B345" s="49"/>
      <c r="C345" s="49"/>
      <c r="D345" s="49"/>
      <c r="E345" s="49"/>
      <c r="F345" s="54"/>
      <c r="G345" s="54"/>
      <c r="H345" s="54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x14ac:dyDescent="0.2">
      <c r="A346" s="49"/>
      <c r="B346" s="49"/>
      <c r="C346" s="49"/>
      <c r="D346" s="49"/>
      <c r="E346" s="49"/>
      <c r="F346" s="54"/>
      <c r="G346" s="54"/>
      <c r="H346" s="54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x14ac:dyDescent="0.2">
      <c r="A347" s="49"/>
      <c r="B347" s="49"/>
      <c r="C347" s="49"/>
      <c r="D347" s="49"/>
      <c r="E347" s="49"/>
      <c r="F347" s="54"/>
      <c r="G347" s="54"/>
      <c r="H347" s="54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x14ac:dyDescent="0.2">
      <c r="A348" s="49"/>
      <c r="B348" s="49"/>
      <c r="C348" s="49"/>
      <c r="D348" s="49"/>
      <c r="E348" s="49"/>
      <c r="F348" s="54"/>
      <c r="G348" s="54"/>
      <c r="H348" s="54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x14ac:dyDescent="0.2">
      <c r="A349" s="49"/>
      <c r="B349" s="49"/>
      <c r="C349" s="49"/>
      <c r="D349" s="49"/>
      <c r="E349" s="49"/>
      <c r="F349" s="54"/>
      <c r="G349" s="54"/>
      <c r="H349" s="54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x14ac:dyDescent="0.2">
      <c r="A350" s="49"/>
      <c r="B350" s="49"/>
      <c r="C350" s="49"/>
      <c r="D350" s="49"/>
      <c r="E350" s="49"/>
      <c r="F350" s="54"/>
      <c r="G350" s="54"/>
      <c r="H350" s="54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x14ac:dyDescent="0.2">
      <c r="A351" s="49"/>
      <c r="B351" s="49"/>
      <c r="C351" s="49"/>
      <c r="D351" s="49"/>
      <c r="E351" s="49"/>
      <c r="F351" s="54"/>
      <c r="G351" s="54"/>
      <c r="H351" s="54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x14ac:dyDescent="0.2">
      <c r="A352" s="49"/>
      <c r="B352" s="49"/>
      <c r="C352" s="49"/>
      <c r="D352" s="49"/>
      <c r="E352" s="49"/>
      <c r="F352" s="54"/>
      <c r="G352" s="54"/>
      <c r="H352" s="54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x14ac:dyDescent="0.2">
      <c r="A353" s="49"/>
      <c r="B353" s="49"/>
      <c r="C353" s="49"/>
      <c r="D353" s="49"/>
      <c r="E353" s="49"/>
      <c r="F353" s="54"/>
      <c r="G353" s="54"/>
      <c r="H353" s="54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x14ac:dyDescent="0.2">
      <c r="A354" s="49"/>
      <c r="B354" s="49"/>
      <c r="C354" s="49"/>
      <c r="D354" s="49"/>
      <c r="E354" s="49"/>
      <c r="F354" s="54"/>
      <c r="G354" s="54"/>
      <c r="H354" s="54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x14ac:dyDescent="0.2">
      <c r="A355" s="49"/>
      <c r="B355" s="49"/>
      <c r="C355" s="49"/>
      <c r="D355" s="49"/>
      <c r="E355" s="49"/>
      <c r="F355" s="54"/>
      <c r="G355" s="54"/>
      <c r="H355" s="54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x14ac:dyDescent="0.2">
      <c r="A356" s="49"/>
      <c r="B356" s="49"/>
      <c r="C356" s="49"/>
      <c r="D356" s="49"/>
      <c r="E356" s="49"/>
      <c r="F356" s="54"/>
      <c r="G356" s="54"/>
      <c r="H356" s="54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x14ac:dyDescent="0.2">
      <c r="A357" s="49"/>
      <c r="B357" s="49"/>
      <c r="C357" s="49"/>
      <c r="D357" s="49"/>
      <c r="E357" s="49"/>
      <c r="F357" s="54"/>
      <c r="G357" s="54"/>
      <c r="H357" s="54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x14ac:dyDescent="0.2">
      <c r="A358" s="49"/>
      <c r="B358" s="49"/>
      <c r="C358" s="49"/>
      <c r="D358" s="49"/>
      <c r="E358" s="49"/>
      <c r="F358" s="54"/>
      <c r="G358" s="54"/>
      <c r="H358" s="54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x14ac:dyDescent="0.2">
      <c r="A359" s="49"/>
      <c r="B359" s="49"/>
      <c r="C359" s="49"/>
      <c r="D359" s="49"/>
      <c r="E359" s="49"/>
      <c r="F359" s="54"/>
      <c r="G359" s="54"/>
      <c r="H359" s="54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x14ac:dyDescent="0.2">
      <c r="A360" s="49"/>
      <c r="B360" s="49"/>
      <c r="C360" s="49"/>
      <c r="D360" s="49"/>
      <c r="E360" s="49"/>
      <c r="F360" s="54"/>
      <c r="G360" s="54"/>
      <c r="H360" s="54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x14ac:dyDescent="0.2">
      <c r="A361" s="49"/>
      <c r="B361" s="49"/>
      <c r="C361" s="49"/>
      <c r="D361" s="49"/>
      <c r="E361" s="49"/>
      <c r="F361" s="54"/>
      <c r="G361" s="54"/>
      <c r="H361" s="54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x14ac:dyDescent="0.2">
      <c r="A362" s="49"/>
      <c r="B362" s="49"/>
      <c r="C362" s="49"/>
      <c r="D362" s="49"/>
      <c r="E362" s="49"/>
      <c r="F362" s="54"/>
      <c r="G362" s="54"/>
      <c r="H362" s="54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x14ac:dyDescent="0.2">
      <c r="A363" s="49"/>
      <c r="B363" s="49"/>
      <c r="C363" s="49"/>
      <c r="D363" s="49"/>
      <c r="E363" s="49"/>
      <c r="F363" s="54"/>
      <c r="G363" s="54"/>
      <c r="H363" s="54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x14ac:dyDescent="0.2">
      <c r="A364" s="49"/>
      <c r="B364" s="49"/>
      <c r="C364" s="49"/>
      <c r="D364" s="49"/>
      <c r="E364" s="49"/>
      <c r="F364" s="54"/>
      <c r="G364" s="54"/>
      <c r="H364" s="54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x14ac:dyDescent="0.2">
      <c r="A365" s="49"/>
      <c r="B365" s="49"/>
      <c r="C365" s="49"/>
      <c r="D365" s="49"/>
      <c r="E365" s="49"/>
      <c r="F365" s="54"/>
      <c r="G365" s="54"/>
      <c r="H365" s="54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x14ac:dyDescent="0.2">
      <c r="A366" s="49"/>
      <c r="B366" s="49"/>
      <c r="C366" s="49"/>
      <c r="D366" s="49"/>
      <c r="E366" s="49"/>
      <c r="F366" s="54"/>
      <c r="G366" s="54"/>
      <c r="H366" s="54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x14ac:dyDescent="0.2">
      <c r="A367" s="49"/>
      <c r="B367" s="49"/>
      <c r="C367" s="49"/>
      <c r="D367" s="49"/>
      <c r="E367" s="49"/>
      <c r="F367" s="54"/>
      <c r="G367" s="54"/>
      <c r="H367" s="54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x14ac:dyDescent="0.2">
      <c r="A368" s="49"/>
      <c r="B368" s="49"/>
      <c r="C368" s="49"/>
      <c r="D368" s="49"/>
      <c r="E368" s="49"/>
      <c r="F368" s="54"/>
      <c r="G368" s="54"/>
      <c r="H368" s="54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x14ac:dyDescent="0.2">
      <c r="A369" s="49"/>
      <c r="B369" s="49"/>
      <c r="C369" s="49"/>
      <c r="D369" s="49"/>
      <c r="E369" s="49"/>
      <c r="F369" s="54"/>
      <c r="G369" s="54"/>
      <c r="H369" s="54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x14ac:dyDescent="0.2">
      <c r="A370" s="49"/>
      <c r="B370" s="49"/>
      <c r="C370" s="49"/>
      <c r="D370" s="49"/>
      <c r="E370" s="49"/>
      <c r="F370" s="54"/>
      <c r="G370" s="54"/>
      <c r="H370" s="54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x14ac:dyDescent="0.2">
      <c r="A371" s="49"/>
      <c r="B371" s="49"/>
      <c r="C371" s="49"/>
      <c r="D371" s="49"/>
      <c r="E371" s="49"/>
      <c r="F371" s="54"/>
      <c r="G371" s="54"/>
      <c r="H371" s="54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x14ac:dyDescent="0.2">
      <c r="A372" s="49"/>
      <c r="B372" s="49"/>
      <c r="C372" s="49"/>
      <c r="D372" s="49"/>
      <c r="E372" s="49"/>
      <c r="F372" s="54"/>
      <c r="G372" s="54"/>
      <c r="H372" s="54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x14ac:dyDescent="0.2">
      <c r="A373" s="49"/>
      <c r="B373" s="49"/>
      <c r="C373" s="49"/>
      <c r="D373" s="49"/>
      <c r="E373" s="49"/>
      <c r="F373" s="54"/>
      <c r="G373" s="54"/>
      <c r="H373" s="54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x14ac:dyDescent="0.2">
      <c r="A374" s="49"/>
      <c r="B374" s="49"/>
      <c r="C374" s="49"/>
      <c r="D374" s="49"/>
      <c r="E374" s="49"/>
      <c r="F374" s="54"/>
      <c r="G374" s="54"/>
      <c r="H374" s="54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x14ac:dyDescent="0.2">
      <c r="A375" s="49"/>
      <c r="B375" s="49"/>
      <c r="C375" s="49"/>
      <c r="D375" s="49"/>
      <c r="E375" s="49"/>
      <c r="F375" s="54"/>
      <c r="G375" s="54"/>
      <c r="H375" s="54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x14ac:dyDescent="0.2">
      <c r="A376" s="49"/>
      <c r="B376" s="49"/>
      <c r="C376" s="49"/>
      <c r="D376" s="49"/>
      <c r="E376" s="49"/>
      <c r="F376" s="54"/>
      <c r="G376" s="54"/>
      <c r="H376" s="54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x14ac:dyDescent="0.2">
      <c r="A377" s="49"/>
      <c r="B377" s="49"/>
      <c r="C377" s="49"/>
      <c r="D377" s="49"/>
      <c r="E377" s="49"/>
      <c r="F377" s="54"/>
      <c r="G377" s="54"/>
      <c r="H377" s="54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x14ac:dyDescent="0.2">
      <c r="A378" s="49"/>
      <c r="B378" s="49"/>
      <c r="C378" s="49"/>
      <c r="D378" s="49"/>
      <c r="E378" s="49"/>
      <c r="F378" s="54"/>
      <c r="G378" s="54"/>
      <c r="H378" s="54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x14ac:dyDescent="0.2">
      <c r="A379" s="49"/>
      <c r="B379" s="49"/>
      <c r="C379" s="49"/>
      <c r="D379" s="49"/>
      <c r="E379" s="49"/>
      <c r="F379" s="54"/>
      <c r="G379" s="54"/>
      <c r="H379" s="54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x14ac:dyDescent="0.2">
      <c r="A380" s="49"/>
      <c r="B380" s="49"/>
      <c r="C380" s="49"/>
      <c r="D380" s="49"/>
      <c r="E380" s="49"/>
      <c r="F380" s="54"/>
      <c r="G380" s="54"/>
      <c r="H380" s="54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x14ac:dyDescent="0.2">
      <c r="A381" s="49"/>
      <c r="B381" s="49"/>
      <c r="C381" s="49"/>
      <c r="D381" s="49"/>
      <c r="E381" s="49"/>
      <c r="F381" s="54"/>
      <c r="G381" s="54"/>
      <c r="H381" s="54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x14ac:dyDescent="0.2">
      <c r="A382" s="49"/>
      <c r="B382" s="49"/>
      <c r="C382" s="49"/>
      <c r="D382" s="49"/>
      <c r="E382" s="49"/>
      <c r="F382" s="54"/>
      <c r="G382" s="54"/>
      <c r="H382" s="54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x14ac:dyDescent="0.2">
      <c r="A383" s="49"/>
      <c r="B383" s="49"/>
      <c r="C383" s="49"/>
      <c r="D383" s="49"/>
      <c r="E383" s="49"/>
      <c r="F383" s="54"/>
      <c r="G383" s="54"/>
      <c r="H383" s="54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x14ac:dyDescent="0.2">
      <c r="A384" s="49"/>
      <c r="B384" s="49"/>
      <c r="C384" s="49"/>
      <c r="D384" s="49"/>
      <c r="E384" s="49"/>
      <c r="F384" s="54"/>
      <c r="G384" s="54"/>
      <c r="H384" s="54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x14ac:dyDescent="0.2">
      <c r="A385" s="49"/>
      <c r="B385" s="49"/>
      <c r="C385" s="49"/>
      <c r="D385" s="49"/>
      <c r="E385" s="49"/>
      <c r="F385" s="54"/>
      <c r="G385" s="54"/>
      <c r="H385" s="54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x14ac:dyDescent="0.2">
      <c r="A386" s="49"/>
      <c r="B386" s="49"/>
      <c r="C386" s="49"/>
      <c r="D386" s="49"/>
      <c r="E386" s="49"/>
      <c r="F386" s="54"/>
      <c r="G386" s="54"/>
      <c r="H386" s="54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x14ac:dyDescent="0.2">
      <c r="A387" s="49"/>
      <c r="B387" s="49"/>
      <c r="C387" s="49"/>
      <c r="D387" s="49"/>
      <c r="E387" s="49"/>
      <c r="F387" s="54"/>
      <c r="G387" s="54"/>
      <c r="H387" s="54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x14ac:dyDescent="0.2">
      <c r="A388" s="49"/>
      <c r="B388" s="49"/>
      <c r="C388" s="49"/>
      <c r="D388" s="49"/>
      <c r="E388" s="49"/>
      <c r="F388" s="54"/>
      <c r="G388" s="54"/>
      <c r="H388" s="54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x14ac:dyDescent="0.2">
      <c r="A389" s="49"/>
      <c r="B389" s="49"/>
      <c r="C389" s="49"/>
      <c r="D389" s="49"/>
      <c r="E389" s="49"/>
      <c r="F389" s="54"/>
      <c r="G389" s="54"/>
      <c r="H389" s="54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x14ac:dyDescent="0.2">
      <c r="A390" s="49"/>
      <c r="B390" s="49"/>
      <c r="C390" s="49"/>
      <c r="D390" s="49"/>
      <c r="E390" s="49"/>
      <c r="F390" s="54"/>
      <c r="G390" s="54"/>
      <c r="H390" s="54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x14ac:dyDescent="0.2">
      <c r="A391" s="49"/>
      <c r="B391" s="49"/>
      <c r="C391" s="49"/>
      <c r="D391" s="49"/>
      <c r="E391" s="49"/>
      <c r="F391" s="54"/>
      <c r="G391" s="54"/>
      <c r="H391" s="54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x14ac:dyDescent="0.2">
      <c r="A392" s="49"/>
      <c r="B392" s="49"/>
      <c r="C392" s="49"/>
      <c r="D392" s="49"/>
      <c r="E392" s="49"/>
      <c r="F392" s="54"/>
      <c r="G392" s="54"/>
      <c r="H392" s="54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x14ac:dyDescent="0.2">
      <c r="A393" s="49"/>
      <c r="B393" s="49"/>
      <c r="C393" s="49"/>
      <c r="D393" s="49"/>
      <c r="E393" s="49"/>
      <c r="F393" s="54"/>
      <c r="G393" s="54"/>
      <c r="H393" s="54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x14ac:dyDescent="0.2">
      <c r="A394" s="49"/>
      <c r="B394" s="49"/>
      <c r="C394" s="49"/>
      <c r="D394" s="49"/>
      <c r="E394" s="49"/>
      <c r="F394" s="54"/>
      <c r="G394" s="54"/>
      <c r="H394" s="54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x14ac:dyDescent="0.2">
      <c r="A395" s="49"/>
      <c r="B395" s="49"/>
      <c r="C395" s="49"/>
      <c r="D395" s="49"/>
      <c r="E395" s="49"/>
      <c r="F395" s="54"/>
      <c r="G395" s="54"/>
      <c r="H395" s="54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x14ac:dyDescent="0.2">
      <c r="A396" s="49"/>
      <c r="B396" s="49"/>
      <c r="C396" s="49"/>
      <c r="D396" s="49"/>
      <c r="E396" s="49"/>
      <c r="F396" s="54"/>
      <c r="G396" s="54"/>
      <c r="H396" s="54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x14ac:dyDescent="0.2">
      <c r="A397" s="49"/>
      <c r="B397" s="49"/>
      <c r="C397" s="49"/>
      <c r="D397" s="49"/>
      <c r="E397" s="49"/>
      <c r="F397" s="54"/>
      <c r="G397" s="54"/>
      <c r="H397" s="54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x14ac:dyDescent="0.2">
      <c r="A398" s="49"/>
      <c r="B398" s="49"/>
      <c r="C398" s="49"/>
      <c r="D398" s="49"/>
      <c r="E398" s="49"/>
      <c r="F398" s="54"/>
      <c r="G398" s="54"/>
      <c r="H398" s="54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x14ac:dyDescent="0.2">
      <c r="A399" s="49"/>
      <c r="B399" s="49"/>
      <c r="C399" s="49"/>
      <c r="D399" s="49"/>
      <c r="E399" s="49"/>
      <c r="F399" s="54"/>
      <c r="G399" s="54"/>
      <c r="H399" s="54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x14ac:dyDescent="0.2">
      <c r="A400" s="49"/>
      <c r="B400" s="49"/>
      <c r="C400" s="49"/>
      <c r="D400" s="49"/>
      <c r="E400" s="49"/>
      <c r="F400" s="54"/>
      <c r="G400" s="54"/>
      <c r="H400" s="54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x14ac:dyDescent="0.2">
      <c r="A401" s="49"/>
      <c r="B401" s="49"/>
      <c r="C401" s="49"/>
      <c r="D401" s="49"/>
      <c r="E401" s="49"/>
      <c r="F401" s="54"/>
      <c r="G401" s="54"/>
      <c r="H401" s="54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x14ac:dyDescent="0.2">
      <c r="A402" s="49"/>
      <c r="B402" s="49"/>
      <c r="C402" s="49"/>
      <c r="D402" s="49"/>
      <c r="E402" s="49"/>
      <c r="F402" s="54"/>
      <c r="G402" s="54"/>
      <c r="H402" s="54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x14ac:dyDescent="0.2">
      <c r="A403" s="49"/>
      <c r="B403" s="49"/>
      <c r="C403" s="49"/>
      <c r="D403" s="49"/>
      <c r="E403" s="49"/>
      <c r="F403" s="54"/>
      <c r="G403" s="54"/>
      <c r="H403" s="54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x14ac:dyDescent="0.2">
      <c r="A404" s="49"/>
      <c r="B404" s="49"/>
      <c r="C404" s="49"/>
      <c r="D404" s="49"/>
      <c r="E404" s="49"/>
      <c r="F404" s="54"/>
      <c r="G404" s="54"/>
      <c r="H404" s="54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x14ac:dyDescent="0.2">
      <c r="A405" s="49"/>
      <c r="B405" s="49"/>
      <c r="C405" s="49"/>
      <c r="D405" s="49"/>
      <c r="E405" s="49"/>
      <c r="F405" s="54"/>
      <c r="G405" s="54"/>
      <c r="H405" s="54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x14ac:dyDescent="0.2">
      <c r="A406" s="49"/>
      <c r="B406" s="49"/>
      <c r="C406" s="49"/>
      <c r="D406" s="49"/>
      <c r="E406" s="49"/>
      <c r="F406" s="54"/>
      <c r="G406" s="54"/>
      <c r="H406" s="54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x14ac:dyDescent="0.2">
      <c r="A407" s="49"/>
      <c r="B407" s="49"/>
      <c r="C407" s="49"/>
      <c r="D407" s="49"/>
      <c r="E407" s="49"/>
      <c r="F407" s="54"/>
      <c r="G407" s="54"/>
      <c r="H407" s="54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x14ac:dyDescent="0.2">
      <c r="A408" s="49"/>
      <c r="B408" s="49"/>
      <c r="C408" s="49"/>
      <c r="D408" s="49"/>
      <c r="E408" s="49"/>
      <c r="F408" s="54"/>
      <c r="G408" s="54"/>
      <c r="H408" s="54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x14ac:dyDescent="0.2">
      <c r="A409" s="49"/>
      <c r="B409" s="49"/>
      <c r="C409" s="49"/>
      <c r="D409" s="49"/>
      <c r="E409" s="49"/>
      <c r="F409" s="54"/>
      <c r="G409" s="54"/>
      <c r="H409" s="54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x14ac:dyDescent="0.2">
      <c r="A410" s="49"/>
      <c r="B410" s="49"/>
      <c r="C410" s="49"/>
      <c r="D410" s="49"/>
      <c r="E410" s="49"/>
      <c r="F410" s="54"/>
      <c r="G410" s="54"/>
      <c r="H410" s="54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x14ac:dyDescent="0.2">
      <c r="A411" s="49"/>
      <c r="B411" s="49"/>
      <c r="C411" s="49"/>
      <c r="D411" s="49"/>
      <c r="E411" s="49"/>
      <c r="F411" s="54"/>
      <c r="G411" s="54"/>
      <c r="H411" s="54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x14ac:dyDescent="0.2">
      <c r="A412" s="49"/>
      <c r="B412" s="49"/>
      <c r="C412" s="49"/>
      <c r="D412" s="49"/>
      <c r="E412" s="49"/>
      <c r="F412" s="54"/>
      <c r="G412" s="54"/>
      <c r="H412" s="54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x14ac:dyDescent="0.2">
      <c r="A413" s="49"/>
      <c r="B413" s="49"/>
      <c r="C413" s="49"/>
      <c r="D413" s="49"/>
      <c r="E413" s="49"/>
      <c r="F413" s="54"/>
      <c r="G413" s="54"/>
      <c r="H413" s="54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x14ac:dyDescent="0.2">
      <c r="A414" s="49"/>
      <c r="B414" s="49"/>
      <c r="C414" s="49"/>
      <c r="D414" s="49"/>
      <c r="E414" s="49"/>
      <c r="F414" s="54"/>
      <c r="G414" s="54"/>
      <c r="H414" s="54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x14ac:dyDescent="0.2">
      <c r="A415" s="49"/>
      <c r="B415" s="49"/>
      <c r="C415" s="49"/>
      <c r="D415" s="49"/>
      <c r="E415" s="49"/>
      <c r="F415" s="54"/>
      <c r="G415" s="54"/>
      <c r="H415" s="54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x14ac:dyDescent="0.2">
      <c r="A416" s="49"/>
      <c r="B416" s="49"/>
      <c r="C416" s="49"/>
      <c r="D416" s="49"/>
      <c r="E416" s="49"/>
      <c r="F416" s="54"/>
      <c r="G416" s="54"/>
      <c r="H416" s="54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x14ac:dyDescent="0.2">
      <c r="A417" s="49"/>
      <c r="B417" s="49"/>
      <c r="C417" s="49"/>
      <c r="D417" s="49"/>
      <c r="E417" s="49"/>
      <c r="F417" s="54"/>
      <c r="G417" s="54"/>
      <c r="H417" s="54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x14ac:dyDescent="0.2">
      <c r="A418" s="49"/>
      <c r="B418" s="49"/>
      <c r="C418" s="49"/>
      <c r="D418" s="49"/>
      <c r="E418" s="49"/>
      <c r="F418" s="54"/>
      <c r="G418" s="54"/>
      <c r="H418" s="54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x14ac:dyDescent="0.2">
      <c r="A419" s="49"/>
      <c r="B419" s="49"/>
      <c r="C419" s="49"/>
      <c r="D419" s="49"/>
      <c r="E419" s="49"/>
      <c r="F419" s="54"/>
      <c r="G419" s="54"/>
      <c r="H419" s="54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x14ac:dyDescent="0.2">
      <c r="A420" s="49"/>
      <c r="B420" s="49"/>
      <c r="C420" s="49"/>
      <c r="D420" s="49"/>
      <c r="E420" s="49"/>
      <c r="F420" s="54"/>
      <c r="G420" s="54"/>
      <c r="H420" s="54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x14ac:dyDescent="0.2">
      <c r="A421" s="49"/>
      <c r="B421" s="49"/>
      <c r="C421" s="49"/>
      <c r="D421" s="49"/>
      <c r="E421" s="49"/>
      <c r="F421" s="54"/>
      <c r="G421" s="54"/>
      <c r="H421" s="54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x14ac:dyDescent="0.2">
      <c r="A422" s="49"/>
      <c r="B422" s="49"/>
      <c r="C422" s="49"/>
      <c r="D422" s="49"/>
      <c r="E422" s="49"/>
      <c r="F422" s="54"/>
      <c r="G422" s="54"/>
      <c r="H422" s="54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x14ac:dyDescent="0.2">
      <c r="A423" s="49"/>
      <c r="B423" s="49"/>
      <c r="C423" s="49"/>
      <c r="D423" s="49"/>
      <c r="E423" s="49"/>
      <c r="F423" s="54"/>
      <c r="G423" s="54"/>
      <c r="H423" s="54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x14ac:dyDescent="0.2">
      <c r="A424" s="49"/>
      <c r="B424" s="49"/>
      <c r="C424" s="49"/>
      <c r="D424" s="49"/>
      <c r="E424" s="49"/>
      <c r="F424" s="54"/>
      <c r="G424" s="54"/>
      <c r="H424" s="54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x14ac:dyDescent="0.2">
      <c r="A425" s="49"/>
      <c r="B425" s="49"/>
      <c r="C425" s="49"/>
      <c r="D425" s="49"/>
      <c r="E425" s="49"/>
      <c r="F425" s="54"/>
      <c r="G425" s="54"/>
      <c r="H425" s="54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x14ac:dyDescent="0.2">
      <c r="A426" s="49"/>
      <c r="B426" s="49"/>
      <c r="C426" s="49"/>
      <c r="D426" s="49"/>
      <c r="E426" s="49"/>
      <c r="F426" s="54"/>
      <c r="G426" s="54"/>
      <c r="H426" s="54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x14ac:dyDescent="0.2">
      <c r="A427" s="49"/>
      <c r="B427" s="49"/>
      <c r="C427" s="49"/>
      <c r="D427" s="49"/>
      <c r="E427" s="49"/>
      <c r="F427" s="54"/>
      <c r="G427" s="54"/>
      <c r="H427" s="54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x14ac:dyDescent="0.2">
      <c r="A428" s="49"/>
      <c r="B428" s="49"/>
      <c r="C428" s="49"/>
      <c r="D428" s="49"/>
      <c r="E428" s="49"/>
      <c r="F428" s="54"/>
      <c r="G428" s="54"/>
      <c r="H428" s="54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x14ac:dyDescent="0.2">
      <c r="A429" s="49"/>
      <c r="B429" s="49"/>
      <c r="C429" s="49"/>
      <c r="D429" s="49"/>
      <c r="E429" s="49"/>
      <c r="F429" s="54"/>
      <c r="G429" s="54"/>
      <c r="H429" s="54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x14ac:dyDescent="0.2">
      <c r="A430" s="49"/>
      <c r="B430" s="49"/>
      <c r="C430" s="49"/>
      <c r="D430" s="49"/>
      <c r="E430" s="49"/>
      <c r="F430" s="54"/>
      <c r="G430" s="54"/>
      <c r="H430" s="54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x14ac:dyDescent="0.2">
      <c r="A431" s="49"/>
      <c r="B431" s="49"/>
      <c r="C431" s="49"/>
      <c r="D431" s="49"/>
      <c r="E431" s="49"/>
      <c r="F431" s="54"/>
      <c r="G431" s="54"/>
      <c r="H431" s="54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x14ac:dyDescent="0.2">
      <c r="A432" s="49"/>
      <c r="B432" s="49"/>
      <c r="C432" s="49"/>
      <c r="D432" s="49"/>
      <c r="E432" s="49"/>
      <c r="F432" s="54"/>
      <c r="G432" s="54"/>
      <c r="H432" s="54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x14ac:dyDescent="0.2">
      <c r="A433" s="49"/>
      <c r="B433" s="49"/>
      <c r="C433" s="49"/>
      <c r="D433" s="49"/>
      <c r="E433" s="49"/>
      <c r="F433" s="54"/>
      <c r="G433" s="54"/>
      <c r="H433" s="54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x14ac:dyDescent="0.2">
      <c r="A434" s="49"/>
      <c r="B434" s="49"/>
      <c r="C434" s="49"/>
      <c r="D434" s="49"/>
      <c r="E434" s="49"/>
      <c r="F434" s="54"/>
      <c r="G434" s="54"/>
      <c r="H434" s="54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x14ac:dyDescent="0.2">
      <c r="A435" s="49"/>
      <c r="B435" s="49"/>
      <c r="C435" s="49"/>
      <c r="D435" s="49"/>
      <c r="E435" s="49"/>
      <c r="F435" s="54"/>
      <c r="G435" s="54"/>
      <c r="H435" s="54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x14ac:dyDescent="0.2">
      <c r="A436" s="49"/>
      <c r="B436" s="49"/>
      <c r="C436" s="49"/>
      <c r="D436" s="49"/>
      <c r="E436" s="49"/>
      <c r="F436" s="54"/>
      <c r="G436" s="54"/>
      <c r="H436" s="54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x14ac:dyDescent="0.2">
      <c r="A437" s="49"/>
      <c r="B437" s="49"/>
      <c r="C437" s="49"/>
      <c r="D437" s="49"/>
      <c r="E437" s="49"/>
      <c r="F437" s="54"/>
      <c r="G437" s="54"/>
      <c r="H437" s="54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x14ac:dyDescent="0.2">
      <c r="A438" s="49"/>
      <c r="B438" s="49"/>
      <c r="C438" s="49"/>
      <c r="D438" s="49"/>
      <c r="E438" s="49"/>
      <c r="F438" s="54"/>
      <c r="G438" s="54"/>
      <c r="H438" s="54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x14ac:dyDescent="0.2">
      <c r="A439" s="49"/>
      <c r="B439" s="49"/>
      <c r="C439" s="49"/>
      <c r="D439" s="49"/>
      <c r="E439" s="49"/>
      <c r="F439" s="54"/>
      <c r="G439" s="54"/>
      <c r="H439" s="54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x14ac:dyDescent="0.2">
      <c r="A440" s="49"/>
      <c r="B440" s="49"/>
      <c r="C440" s="49"/>
      <c r="D440" s="49"/>
      <c r="E440" s="49"/>
      <c r="F440" s="54"/>
      <c r="G440" s="54"/>
      <c r="H440" s="54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x14ac:dyDescent="0.2">
      <c r="A441" s="49"/>
      <c r="B441" s="49"/>
      <c r="C441" s="49"/>
      <c r="D441" s="49"/>
      <c r="E441" s="49"/>
      <c r="F441" s="54"/>
      <c r="G441" s="54"/>
      <c r="H441" s="54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x14ac:dyDescent="0.2">
      <c r="A442" s="49"/>
      <c r="B442" s="49"/>
      <c r="C442" s="49"/>
      <c r="D442" s="49"/>
      <c r="E442" s="49"/>
      <c r="F442" s="54"/>
      <c r="G442" s="54"/>
      <c r="H442" s="54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x14ac:dyDescent="0.2">
      <c r="A443" s="49"/>
      <c r="B443" s="49"/>
      <c r="C443" s="49"/>
      <c r="D443" s="49"/>
      <c r="E443" s="49"/>
      <c r="F443" s="54"/>
      <c r="G443" s="54"/>
      <c r="H443" s="54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x14ac:dyDescent="0.2">
      <c r="A444" s="49"/>
      <c r="B444" s="49"/>
      <c r="C444" s="49"/>
      <c r="D444" s="49"/>
      <c r="E444" s="49"/>
      <c r="F444" s="54"/>
      <c r="G444" s="54"/>
      <c r="H444" s="54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x14ac:dyDescent="0.2">
      <c r="A445" s="49"/>
      <c r="B445" s="49"/>
      <c r="C445" s="49"/>
      <c r="D445" s="49"/>
      <c r="E445" s="49"/>
      <c r="F445" s="54"/>
      <c r="G445" s="54"/>
      <c r="H445" s="54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x14ac:dyDescent="0.2">
      <c r="A446" s="49"/>
      <c r="B446" s="49"/>
      <c r="C446" s="49"/>
      <c r="D446" s="49"/>
      <c r="E446" s="49"/>
      <c r="F446" s="54"/>
      <c r="G446" s="54"/>
      <c r="H446" s="54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x14ac:dyDescent="0.2">
      <c r="A447" s="49"/>
      <c r="B447" s="49"/>
      <c r="C447" s="49"/>
      <c r="D447" s="49"/>
      <c r="E447" s="49"/>
      <c r="F447" s="54"/>
      <c r="G447" s="54"/>
      <c r="H447" s="54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x14ac:dyDescent="0.2">
      <c r="A448" s="49"/>
      <c r="B448" s="49"/>
      <c r="C448" s="49"/>
      <c r="D448" s="49"/>
      <c r="E448" s="49"/>
      <c r="F448" s="54"/>
      <c r="G448" s="54"/>
      <c r="H448" s="54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x14ac:dyDescent="0.2">
      <c r="A449" s="49"/>
      <c r="B449" s="49"/>
      <c r="C449" s="49"/>
      <c r="D449" s="49"/>
      <c r="E449" s="49"/>
      <c r="F449" s="54"/>
      <c r="G449" s="54"/>
      <c r="H449" s="54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x14ac:dyDescent="0.2">
      <c r="A450" s="49"/>
      <c r="B450" s="49"/>
      <c r="C450" s="49"/>
      <c r="D450" s="49"/>
      <c r="E450" s="49"/>
      <c r="F450" s="54"/>
      <c r="G450" s="54"/>
      <c r="H450" s="54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x14ac:dyDescent="0.2">
      <c r="A451" s="49"/>
      <c r="B451" s="49"/>
      <c r="C451" s="49"/>
      <c r="D451" s="49"/>
      <c r="E451" s="49"/>
      <c r="F451" s="54"/>
      <c r="G451" s="54"/>
      <c r="H451" s="54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x14ac:dyDescent="0.2">
      <c r="A452" s="49"/>
      <c r="B452" s="49"/>
      <c r="C452" s="49"/>
      <c r="D452" s="49"/>
      <c r="E452" s="49"/>
      <c r="F452" s="54"/>
      <c r="G452" s="54"/>
      <c r="H452" s="54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x14ac:dyDescent="0.2">
      <c r="A453" s="49"/>
      <c r="B453" s="49"/>
      <c r="C453" s="49"/>
      <c r="D453" s="49"/>
      <c r="E453" s="49"/>
      <c r="F453" s="54"/>
      <c r="G453" s="54"/>
      <c r="H453" s="54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x14ac:dyDescent="0.2">
      <c r="A454" s="49"/>
      <c r="B454" s="49"/>
      <c r="C454" s="49"/>
      <c r="D454" s="49"/>
      <c r="E454" s="49"/>
      <c r="F454" s="54"/>
      <c r="G454" s="54"/>
      <c r="H454" s="54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x14ac:dyDescent="0.2">
      <c r="A455" s="49"/>
      <c r="B455" s="49"/>
      <c r="C455" s="49"/>
      <c r="D455" s="49"/>
      <c r="E455" s="49"/>
      <c r="F455" s="54"/>
      <c r="G455" s="54"/>
      <c r="H455" s="54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x14ac:dyDescent="0.2">
      <c r="A456" s="49"/>
      <c r="B456" s="49"/>
      <c r="C456" s="49"/>
      <c r="D456" s="49"/>
      <c r="E456" s="49"/>
      <c r="F456" s="54"/>
      <c r="G456" s="54"/>
      <c r="H456" s="54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x14ac:dyDescent="0.2">
      <c r="A457" s="49"/>
      <c r="B457" s="49"/>
      <c r="C457" s="49"/>
      <c r="D457" s="49"/>
      <c r="E457" s="49"/>
      <c r="F457" s="54"/>
      <c r="G457" s="54"/>
      <c r="H457" s="54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x14ac:dyDescent="0.2">
      <c r="A458" s="49"/>
      <c r="B458" s="49"/>
      <c r="C458" s="49"/>
      <c r="D458" s="49"/>
      <c r="E458" s="49"/>
      <c r="F458" s="54"/>
      <c r="G458" s="54"/>
      <c r="H458" s="54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x14ac:dyDescent="0.2">
      <c r="A459" s="49"/>
      <c r="B459" s="49"/>
      <c r="C459" s="49"/>
      <c r="D459" s="49"/>
      <c r="E459" s="49"/>
      <c r="F459" s="54"/>
      <c r="G459" s="54"/>
      <c r="H459" s="54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x14ac:dyDescent="0.2">
      <c r="A460" s="49"/>
      <c r="B460" s="49"/>
      <c r="C460" s="49"/>
      <c r="D460" s="49"/>
      <c r="E460" s="49"/>
      <c r="F460" s="54"/>
      <c r="G460" s="54"/>
      <c r="H460" s="54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x14ac:dyDescent="0.2">
      <c r="A461" s="49"/>
      <c r="B461" s="49"/>
      <c r="C461" s="49"/>
      <c r="D461" s="49"/>
      <c r="E461" s="49"/>
      <c r="F461" s="54"/>
      <c r="G461" s="54"/>
      <c r="H461" s="54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x14ac:dyDescent="0.2">
      <c r="A462" s="49"/>
      <c r="B462" s="49"/>
      <c r="C462" s="49"/>
      <c r="D462" s="49"/>
      <c r="E462" s="49"/>
      <c r="F462" s="54"/>
      <c r="G462" s="54"/>
      <c r="H462" s="54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x14ac:dyDescent="0.2">
      <c r="A463" s="49"/>
      <c r="B463" s="49"/>
      <c r="C463" s="49"/>
      <c r="D463" s="49"/>
      <c r="E463" s="49"/>
      <c r="F463" s="54"/>
      <c r="G463" s="54"/>
      <c r="H463" s="54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x14ac:dyDescent="0.2">
      <c r="A464" s="49"/>
      <c r="B464" s="49"/>
      <c r="C464" s="49"/>
      <c r="D464" s="49"/>
      <c r="E464" s="49"/>
      <c r="F464" s="54"/>
      <c r="G464" s="54"/>
      <c r="H464" s="54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x14ac:dyDescent="0.2">
      <c r="A465" s="49"/>
      <c r="B465" s="49"/>
      <c r="C465" s="49"/>
      <c r="D465" s="49"/>
      <c r="E465" s="49"/>
      <c r="F465" s="54"/>
      <c r="G465" s="54"/>
      <c r="H465" s="54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x14ac:dyDescent="0.2">
      <c r="A466" s="49"/>
      <c r="B466" s="49"/>
      <c r="C466" s="49"/>
      <c r="D466" s="49"/>
      <c r="E466" s="49"/>
      <c r="F466" s="54"/>
      <c r="G466" s="54"/>
      <c r="H466" s="54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x14ac:dyDescent="0.2">
      <c r="A467" s="49"/>
      <c r="B467" s="49"/>
      <c r="C467" s="49"/>
      <c r="D467" s="49"/>
      <c r="E467" s="49"/>
      <c r="F467" s="54"/>
      <c r="G467" s="54"/>
      <c r="H467" s="54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x14ac:dyDescent="0.2">
      <c r="A468" s="49"/>
      <c r="B468" s="49"/>
      <c r="C468" s="49"/>
      <c r="D468" s="49"/>
      <c r="E468" s="49"/>
      <c r="F468" s="54"/>
      <c r="G468" s="54"/>
      <c r="H468" s="54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x14ac:dyDescent="0.2">
      <c r="A469" s="49"/>
      <c r="B469" s="49"/>
      <c r="C469" s="49"/>
      <c r="D469" s="49"/>
      <c r="E469" s="49"/>
      <c r="F469" s="54"/>
      <c r="G469" s="54"/>
      <c r="H469" s="54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x14ac:dyDescent="0.2">
      <c r="A470" s="49"/>
      <c r="B470" s="49"/>
      <c r="C470" s="49"/>
      <c r="D470" s="49"/>
      <c r="E470" s="49"/>
      <c r="F470" s="54"/>
      <c r="G470" s="54"/>
      <c r="H470" s="54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x14ac:dyDescent="0.2">
      <c r="A471" s="49"/>
      <c r="B471" s="49"/>
      <c r="C471" s="49"/>
      <c r="D471" s="49"/>
      <c r="E471" s="49"/>
      <c r="F471" s="54"/>
      <c r="G471" s="54"/>
      <c r="H471" s="54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x14ac:dyDescent="0.2">
      <c r="A472" s="49"/>
      <c r="B472" s="49"/>
      <c r="C472" s="49"/>
      <c r="D472" s="49"/>
      <c r="E472" s="49"/>
      <c r="F472" s="54"/>
      <c r="G472" s="54"/>
      <c r="H472" s="54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x14ac:dyDescent="0.2">
      <c r="A473" s="49"/>
      <c r="B473" s="49"/>
      <c r="C473" s="49"/>
      <c r="D473" s="49"/>
      <c r="E473" s="49"/>
      <c r="F473" s="54"/>
      <c r="G473" s="54"/>
      <c r="H473" s="54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x14ac:dyDescent="0.2">
      <c r="A474" s="49"/>
      <c r="B474" s="49"/>
      <c r="C474" s="49"/>
      <c r="D474" s="49"/>
      <c r="E474" s="49"/>
      <c r="F474" s="54"/>
      <c r="G474" s="54"/>
      <c r="H474" s="54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x14ac:dyDescent="0.2">
      <c r="A475" s="49"/>
      <c r="B475" s="49"/>
      <c r="C475" s="49"/>
      <c r="D475" s="49"/>
      <c r="E475" s="49"/>
      <c r="F475" s="54"/>
      <c r="G475" s="54"/>
      <c r="H475" s="54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x14ac:dyDescent="0.2">
      <c r="A476" s="49"/>
      <c r="B476" s="49"/>
      <c r="C476" s="49"/>
      <c r="D476" s="49"/>
      <c r="E476" s="49"/>
      <c r="F476" s="54"/>
      <c r="G476" s="54"/>
      <c r="H476" s="54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x14ac:dyDescent="0.2">
      <c r="A477" s="49"/>
      <c r="B477" s="49"/>
      <c r="C477" s="49"/>
      <c r="D477" s="49"/>
      <c r="E477" s="49"/>
      <c r="F477" s="54"/>
      <c r="G477" s="54"/>
      <c r="H477" s="54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x14ac:dyDescent="0.2">
      <c r="A478" s="49"/>
      <c r="B478" s="49"/>
      <c r="C478" s="49"/>
      <c r="D478" s="49"/>
      <c r="E478" s="49"/>
      <c r="F478" s="54"/>
      <c r="G478" s="54"/>
      <c r="H478" s="54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x14ac:dyDescent="0.2">
      <c r="A479" s="49"/>
      <c r="B479" s="49"/>
      <c r="C479" s="49"/>
      <c r="D479" s="49"/>
      <c r="E479" s="49"/>
      <c r="F479" s="54"/>
      <c r="G479" s="54"/>
      <c r="H479" s="54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x14ac:dyDescent="0.2">
      <c r="A480" s="49"/>
      <c r="B480" s="49"/>
      <c r="C480" s="49"/>
      <c r="D480" s="49"/>
      <c r="E480" s="49"/>
      <c r="F480" s="54"/>
      <c r="G480" s="54"/>
      <c r="H480" s="54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x14ac:dyDescent="0.2">
      <c r="A481" s="49"/>
      <c r="B481" s="49"/>
      <c r="C481" s="49"/>
      <c r="D481" s="49"/>
      <c r="E481" s="49"/>
      <c r="F481" s="54"/>
      <c r="G481" s="54"/>
      <c r="H481" s="54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x14ac:dyDescent="0.2">
      <c r="A482" s="49"/>
      <c r="B482" s="49"/>
      <c r="C482" s="49"/>
      <c r="D482" s="49"/>
      <c r="E482" s="49"/>
      <c r="F482" s="54"/>
      <c r="G482" s="54"/>
      <c r="H482" s="54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x14ac:dyDescent="0.2">
      <c r="A483" s="49"/>
      <c r="B483" s="49"/>
      <c r="C483" s="49"/>
      <c r="D483" s="49"/>
      <c r="E483" s="49"/>
      <c r="F483" s="54"/>
      <c r="G483" s="54"/>
      <c r="H483" s="54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x14ac:dyDescent="0.2">
      <c r="A484" s="49"/>
      <c r="B484" s="49"/>
      <c r="C484" s="49"/>
      <c r="D484" s="49"/>
      <c r="E484" s="49"/>
      <c r="F484" s="54"/>
      <c r="G484" s="54"/>
      <c r="H484" s="54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x14ac:dyDescent="0.2">
      <c r="A485" s="49"/>
      <c r="B485" s="49"/>
      <c r="C485" s="49"/>
      <c r="D485" s="49"/>
      <c r="E485" s="49"/>
      <c r="F485" s="54"/>
      <c r="G485" s="54"/>
      <c r="H485" s="54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x14ac:dyDescent="0.2">
      <c r="A486" s="49"/>
      <c r="B486" s="49"/>
      <c r="C486" s="49"/>
      <c r="D486" s="49"/>
      <c r="E486" s="49"/>
      <c r="F486" s="54"/>
      <c r="G486" s="54"/>
      <c r="H486" s="54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x14ac:dyDescent="0.2">
      <c r="A487" s="49"/>
      <c r="B487" s="49"/>
      <c r="C487" s="49"/>
      <c r="D487" s="49"/>
      <c r="E487" s="49"/>
      <c r="F487" s="54"/>
      <c r="G487" s="54"/>
      <c r="H487" s="54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x14ac:dyDescent="0.2">
      <c r="A488" s="49"/>
      <c r="B488" s="49"/>
      <c r="C488" s="49"/>
      <c r="D488" s="49"/>
      <c r="E488" s="49"/>
      <c r="F488" s="54"/>
      <c r="G488" s="54"/>
      <c r="H488" s="54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x14ac:dyDescent="0.2">
      <c r="A489" s="49"/>
      <c r="B489" s="49"/>
      <c r="C489" s="49"/>
      <c r="D489" s="49"/>
      <c r="E489" s="49"/>
      <c r="F489" s="54"/>
      <c r="G489" s="54"/>
      <c r="H489" s="54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x14ac:dyDescent="0.2">
      <c r="A490" s="49"/>
      <c r="B490" s="49"/>
      <c r="C490" s="49"/>
      <c r="D490" s="49"/>
      <c r="E490" s="49"/>
      <c r="F490" s="54"/>
      <c r="G490" s="54"/>
      <c r="H490" s="54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x14ac:dyDescent="0.2">
      <c r="A491" s="49"/>
      <c r="B491" s="49"/>
      <c r="C491" s="49"/>
      <c r="D491" s="49"/>
      <c r="E491" s="49"/>
      <c r="F491" s="54"/>
      <c r="G491" s="54"/>
      <c r="H491" s="54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x14ac:dyDescent="0.2">
      <c r="A492" s="49"/>
      <c r="B492" s="49"/>
      <c r="C492" s="49"/>
      <c r="D492" s="49"/>
      <c r="E492" s="49"/>
      <c r="F492" s="54"/>
      <c r="G492" s="54"/>
      <c r="H492" s="54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x14ac:dyDescent="0.2">
      <c r="A493" s="49"/>
      <c r="B493" s="49"/>
      <c r="C493" s="49"/>
      <c r="D493" s="49"/>
      <c r="E493" s="49"/>
      <c r="F493" s="54"/>
      <c r="G493" s="54"/>
      <c r="H493" s="54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x14ac:dyDescent="0.2">
      <c r="A494" s="49"/>
      <c r="B494" s="49"/>
      <c r="C494" s="49"/>
      <c r="D494" s="49"/>
      <c r="E494" s="49"/>
      <c r="F494" s="54"/>
      <c r="G494" s="54"/>
      <c r="H494" s="54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x14ac:dyDescent="0.2">
      <c r="A495" s="49"/>
      <c r="B495" s="49"/>
      <c r="C495" s="49"/>
      <c r="D495" s="49"/>
      <c r="E495" s="49"/>
      <c r="F495" s="54"/>
      <c r="G495" s="54"/>
      <c r="H495" s="54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x14ac:dyDescent="0.2">
      <c r="A496" s="49"/>
      <c r="B496" s="49"/>
      <c r="C496" s="49"/>
      <c r="D496" s="49"/>
      <c r="E496" s="49"/>
      <c r="F496" s="54"/>
      <c r="G496" s="54"/>
      <c r="H496" s="54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x14ac:dyDescent="0.2">
      <c r="A497" s="49"/>
      <c r="B497" s="49"/>
      <c r="C497" s="49"/>
      <c r="D497" s="49"/>
      <c r="E497" s="49"/>
      <c r="F497" s="54"/>
      <c r="G497" s="54"/>
      <c r="H497" s="54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x14ac:dyDescent="0.2">
      <c r="A498" s="49"/>
      <c r="B498" s="49"/>
      <c r="C498" s="49"/>
      <c r="D498" s="49"/>
      <c r="E498" s="49"/>
      <c r="F498" s="54"/>
      <c r="G498" s="54"/>
      <c r="H498" s="54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x14ac:dyDescent="0.2">
      <c r="A499" s="49"/>
      <c r="B499" s="49"/>
      <c r="C499" s="49"/>
      <c r="D499" s="49"/>
      <c r="E499" s="49"/>
      <c r="F499" s="54"/>
      <c r="G499" s="54"/>
      <c r="H499" s="54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x14ac:dyDescent="0.2">
      <c r="A500" s="49"/>
      <c r="B500" s="49"/>
      <c r="C500" s="49"/>
      <c r="D500" s="49"/>
      <c r="E500" s="49"/>
      <c r="F500" s="54"/>
      <c r="G500" s="54"/>
      <c r="H500" s="54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x14ac:dyDescent="0.2">
      <c r="A501" s="49"/>
      <c r="B501" s="49"/>
      <c r="C501" s="49"/>
      <c r="D501" s="49"/>
      <c r="E501" s="49"/>
      <c r="F501" s="54"/>
      <c r="G501" s="54"/>
      <c r="H501" s="54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x14ac:dyDescent="0.2">
      <c r="A502" s="49"/>
      <c r="B502" s="49"/>
      <c r="C502" s="49"/>
      <c r="D502" s="49"/>
      <c r="E502" s="49"/>
      <c r="F502" s="54"/>
      <c r="G502" s="54"/>
      <c r="H502" s="54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x14ac:dyDescent="0.2">
      <c r="A503" s="49"/>
      <c r="B503" s="49"/>
      <c r="C503" s="49"/>
      <c r="D503" s="49"/>
      <c r="E503" s="49"/>
      <c r="F503" s="54"/>
      <c r="G503" s="54"/>
      <c r="H503" s="54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x14ac:dyDescent="0.2">
      <c r="A504" s="49"/>
      <c r="B504" s="49"/>
      <c r="C504" s="49"/>
      <c r="D504" s="49"/>
      <c r="E504" s="49"/>
      <c r="F504" s="54"/>
      <c r="G504" s="54"/>
      <c r="H504" s="54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x14ac:dyDescent="0.2">
      <c r="A505" s="49"/>
      <c r="B505" s="49"/>
      <c r="C505" s="49"/>
      <c r="D505" s="49"/>
      <c r="E505" s="49"/>
      <c r="F505" s="54"/>
      <c r="G505" s="54"/>
      <c r="H505" s="54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x14ac:dyDescent="0.2">
      <c r="A506" s="49"/>
      <c r="B506" s="49"/>
      <c r="C506" s="49"/>
      <c r="D506" s="49"/>
      <c r="E506" s="49"/>
      <c r="F506" s="54"/>
      <c r="G506" s="54"/>
      <c r="H506" s="54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x14ac:dyDescent="0.2">
      <c r="A507" s="49"/>
      <c r="B507" s="49"/>
      <c r="C507" s="49"/>
      <c r="D507" s="49"/>
      <c r="E507" s="49"/>
      <c r="F507" s="54"/>
      <c r="G507" s="54"/>
      <c r="H507" s="54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x14ac:dyDescent="0.2">
      <c r="A508" s="49"/>
      <c r="B508" s="49"/>
      <c r="C508" s="49"/>
      <c r="D508" s="49"/>
      <c r="E508" s="49"/>
      <c r="F508" s="54"/>
      <c r="G508" s="54"/>
      <c r="H508" s="54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x14ac:dyDescent="0.2">
      <c r="A509" s="49"/>
      <c r="B509" s="49"/>
      <c r="C509" s="49"/>
      <c r="D509" s="49"/>
      <c r="E509" s="49"/>
      <c r="F509" s="54"/>
      <c r="G509" s="54"/>
      <c r="H509" s="54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x14ac:dyDescent="0.2">
      <c r="A510" s="49"/>
      <c r="B510" s="49"/>
      <c r="C510" s="49"/>
      <c r="D510" s="49"/>
      <c r="E510" s="49"/>
      <c r="F510" s="54"/>
      <c r="G510" s="54"/>
      <c r="H510" s="54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x14ac:dyDescent="0.2">
      <c r="A511" s="49"/>
      <c r="B511" s="49"/>
      <c r="C511" s="49"/>
      <c r="D511" s="49"/>
      <c r="E511" s="49"/>
      <c r="F511" s="54"/>
      <c r="G511" s="54"/>
      <c r="H511" s="54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x14ac:dyDescent="0.2">
      <c r="A512" s="49"/>
      <c r="B512" s="49"/>
      <c r="C512" s="49"/>
      <c r="D512" s="49"/>
      <c r="E512" s="49"/>
      <c r="F512" s="54"/>
      <c r="G512" s="54"/>
      <c r="H512" s="54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x14ac:dyDescent="0.2">
      <c r="A513" s="49"/>
      <c r="B513" s="49"/>
      <c r="C513" s="49"/>
      <c r="D513" s="49"/>
      <c r="E513" s="49"/>
      <c r="F513" s="54"/>
      <c r="G513" s="54"/>
      <c r="H513" s="54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x14ac:dyDescent="0.2">
      <c r="A514" s="49"/>
      <c r="B514" s="49"/>
      <c r="C514" s="49"/>
      <c r="D514" s="49"/>
      <c r="E514" s="49"/>
      <c r="F514" s="54"/>
      <c r="G514" s="54"/>
      <c r="H514" s="54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x14ac:dyDescent="0.2">
      <c r="A515" s="49"/>
      <c r="B515" s="49"/>
      <c r="C515" s="49"/>
      <c r="D515" s="49"/>
      <c r="E515" s="49"/>
      <c r="F515" s="54"/>
      <c r="G515" s="54"/>
      <c r="H515" s="54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x14ac:dyDescent="0.2">
      <c r="A516" s="49"/>
      <c r="B516" s="49"/>
      <c r="C516" s="49"/>
      <c r="D516" s="49"/>
      <c r="E516" s="49"/>
      <c r="F516" s="54"/>
      <c r="G516" s="54"/>
      <c r="H516" s="54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x14ac:dyDescent="0.2">
      <c r="A517" s="49"/>
      <c r="B517" s="49"/>
      <c r="C517" s="49"/>
      <c r="D517" s="49"/>
      <c r="E517" s="49"/>
      <c r="F517" s="54"/>
      <c r="G517" s="54"/>
      <c r="H517" s="54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x14ac:dyDescent="0.2">
      <c r="A518" s="49"/>
      <c r="B518" s="49"/>
      <c r="C518" s="49"/>
      <c r="D518" s="49"/>
      <c r="E518" s="49"/>
      <c r="F518" s="54"/>
      <c r="G518" s="54"/>
      <c r="H518" s="54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x14ac:dyDescent="0.2">
      <c r="A519" s="49"/>
      <c r="B519" s="49"/>
      <c r="C519" s="49"/>
      <c r="D519" s="49"/>
      <c r="E519" s="49"/>
      <c r="F519" s="54"/>
      <c r="G519" s="54"/>
      <c r="H519" s="54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x14ac:dyDescent="0.2">
      <c r="A520" s="49"/>
      <c r="B520" s="49"/>
      <c r="C520" s="49"/>
      <c r="D520" s="49"/>
      <c r="E520" s="49"/>
      <c r="F520" s="54"/>
      <c r="G520" s="54"/>
      <c r="H520" s="54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x14ac:dyDescent="0.2">
      <c r="A521" s="49"/>
      <c r="B521" s="49"/>
      <c r="C521" s="49"/>
      <c r="D521" s="49"/>
      <c r="E521" s="49"/>
      <c r="F521" s="54"/>
      <c r="G521" s="54"/>
      <c r="H521" s="54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x14ac:dyDescent="0.2">
      <c r="A522" s="49"/>
      <c r="B522" s="49"/>
      <c r="C522" s="49"/>
      <c r="D522" s="49"/>
      <c r="E522" s="49"/>
      <c r="F522" s="54"/>
      <c r="G522" s="54"/>
      <c r="H522" s="54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x14ac:dyDescent="0.2">
      <c r="A523" s="49"/>
      <c r="B523" s="49"/>
      <c r="C523" s="49"/>
      <c r="D523" s="49"/>
      <c r="E523" s="49"/>
      <c r="F523" s="54"/>
      <c r="G523" s="54"/>
      <c r="H523" s="54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x14ac:dyDescent="0.2">
      <c r="A524" s="49"/>
      <c r="B524" s="49"/>
      <c r="C524" s="49"/>
      <c r="D524" s="49"/>
      <c r="E524" s="49"/>
      <c r="F524" s="54"/>
      <c r="G524" s="54"/>
      <c r="H524" s="54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x14ac:dyDescent="0.2">
      <c r="A525" s="49"/>
      <c r="B525" s="49"/>
      <c r="C525" s="49"/>
      <c r="D525" s="49"/>
      <c r="E525" s="49"/>
      <c r="F525" s="54"/>
      <c r="G525" s="54"/>
      <c r="H525" s="54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x14ac:dyDescent="0.2">
      <c r="A526" s="49"/>
      <c r="B526" s="49"/>
      <c r="C526" s="49"/>
      <c r="D526" s="49"/>
      <c r="E526" s="49"/>
      <c r="F526" s="54"/>
      <c r="G526" s="54"/>
      <c r="H526" s="54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x14ac:dyDescent="0.2">
      <c r="A527" s="49"/>
      <c r="B527" s="49"/>
      <c r="C527" s="49"/>
      <c r="D527" s="49"/>
      <c r="E527" s="49"/>
      <c r="F527" s="54"/>
      <c r="G527" s="54"/>
      <c r="H527" s="54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x14ac:dyDescent="0.2">
      <c r="A528" s="49"/>
      <c r="B528" s="49"/>
      <c r="C528" s="49"/>
      <c r="D528" s="49"/>
      <c r="E528" s="49"/>
      <c r="F528" s="54"/>
      <c r="G528" s="54"/>
      <c r="H528" s="54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x14ac:dyDescent="0.2">
      <c r="A529" s="49"/>
      <c r="B529" s="49"/>
      <c r="C529" s="49"/>
      <c r="D529" s="49"/>
      <c r="E529" s="49"/>
      <c r="F529" s="54"/>
      <c r="G529" s="54"/>
      <c r="H529" s="54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x14ac:dyDescent="0.2">
      <c r="A530" s="49"/>
      <c r="B530" s="49"/>
      <c r="C530" s="49"/>
      <c r="D530" s="49"/>
      <c r="E530" s="49"/>
      <c r="F530" s="54"/>
      <c r="G530" s="54"/>
      <c r="H530" s="54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x14ac:dyDescent="0.2">
      <c r="A531" s="49"/>
      <c r="B531" s="49"/>
      <c r="C531" s="49"/>
      <c r="D531" s="49"/>
      <c r="E531" s="49"/>
      <c r="F531" s="54"/>
      <c r="G531" s="54"/>
      <c r="H531" s="54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x14ac:dyDescent="0.2">
      <c r="A532" s="49"/>
      <c r="B532" s="49"/>
      <c r="C532" s="49"/>
      <c r="D532" s="49"/>
      <c r="E532" s="49"/>
      <c r="F532" s="54"/>
      <c r="G532" s="54"/>
      <c r="H532" s="54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x14ac:dyDescent="0.2">
      <c r="A533" s="49"/>
      <c r="B533" s="49"/>
      <c r="C533" s="49"/>
      <c r="D533" s="49"/>
      <c r="E533" s="49"/>
      <c r="F533" s="54"/>
      <c r="G533" s="54"/>
      <c r="H533" s="54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x14ac:dyDescent="0.2">
      <c r="A534" s="49"/>
      <c r="B534" s="49"/>
      <c r="C534" s="49"/>
      <c r="D534" s="49"/>
      <c r="E534" s="49"/>
      <c r="F534" s="54"/>
      <c r="G534" s="54"/>
      <c r="H534" s="54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x14ac:dyDescent="0.2">
      <c r="A535" s="49"/>
      <c r="B535" s="49"/>
      <c r="C535" s="49"/>
      <c r="D535" s="49"/>
      <c r="E535" s="49"/>
      <c r="F535" s="54"/>
      <c r="G535" s="54"/>
      <c r="H535" s="54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x14ac:dyDescent="0.2">
      <c r="A536" s="49"/>
      <c r="B536" s="49"/>
      <c r="C536" s="49"/>
      <c r="D536" s="49"/>
      <c r="E536" s="49"/>
      <c r="F536" s="54"/>
      <c r="G536" s="54"/>
      <c r="H536" s="54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x14ac:dyDescent="0.2">
      <c r="A537" s="49"/>
      <c r="B537" s="49"/>
      <c r="C537" s="49"/>
      <c r="D537" s="49"/>
      <c r="E537" s="49"/>
      <c r="F537" s="54"/>
      <c r="G537" s="54"/>
      <c r="H537" s="54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x14ac:dyDescent="0.2">
      <c r="A538" s="49"/>
      <c r="B538" s="49"/>
      <c r="C538" s="49"/>
      <c r="D538" s="49"/>
      <c r="E538" s="49"/>
      <c r="F538" s="54"/>
      <c r="G538" s="54"/>
      <c r="H538" s="54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x14ac:dyDescent="0.2">
      <c r="A539" s="49"/>
      <c r="B539" s="49"/>
      <c r="C539" s="49"/>
      <c r="D539" s="49"/>
      <c r="E539" s="49"/>
      <c r="F539" s="54"/>
      <c r="G539" s="54"/>
      <c r="H539" s="54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x14ac:dyDescent="0.2">
      <c r="A540" s="49"/>
      <c r="B540" s="49"/>
      <c r="C540" s="49"/>
      <c r="D540" s="49"/>
      <c r="E540" s="49"/>
      <c r="F540" s="54"/>
      <c r="G540" s="54"/>
      <c r="H540" s="54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x14ac:dyDescent="0.2">
      <c r="A541" s="49"/>
      <c r="B541" s="49"/>
      <c r="C541" s="49"/>
      <c r="D541" s="49"/>
      <c r="E541" s="49"/>
      <c r="F541" s="54"/>
      <c r="G541" s="54"/>
      <c r="H541" s="54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x14ac:dyDescent="0.2">
      <c r="A542" s="49"/>
      <c r="B542" s="49"/>
      <c r="C542" s="49"/>
      <c r="D542" s="49"/>
      <c r="E542" s="49"/>
      <c r="F542" s="54"/>
      <c r="G542" s="54"/>
      <c r="H542" s="54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x14ac:dyDescent="0.2">
      <c r="A543" s="49"/>
      <c r="B543" s="49"/>
      <c r="C543" s="49"/>
      <c r="D543" s="49"/>
      <c r="E543" s="49"/>
      <c r="F543" s="54"/>
      <c r="G543" s="54"/>
      <c r="H543" s="54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x14ac:dyDescent="0.2">
      <c r="A544" s="49"/>
      <c r="B544" s="49"/>
      <c r="C544" s="49"/>
      <c r="D544" s="49"/>
      <c r="E544" s="49"/>
      <c r="F544" s="54"/>
      <c r="G544" s="54"/>
      <c r="H544" s="54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x14ac:dyDescent="0.2">
      <c r="A545" s="49"/>
      <c r="B545" s="49"/>
      <c r="C545" s="49"/>
      <c r="D545" s="49"/>
      <c r="E545" s="49"/>
      <c r="F545" s="54"/>
      <c r="G545" s="54"/>
      <c r="H545" s="54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x14ac:dyDescent="0.2">
      <c r="A546" s="49"/>
      <c r="B546" s="49"/>
      <c r="C546" s="49"/>
      <c r="D546" s="49"/>
      <c r="E546" s="49"/>
      <c r="F546" s="54"/>
      <c r="G546" s="54"/>
      <c r="H546" s="54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x14ac:dyDescent="0.2">
      <c r="A547" s="49"/>
      <c r="B547" s="49"/>
      <c r="C547" s="49"/>
      <c r="D547" s="49"/>
      <c r="E547" s="49"/>
      <c r="F547" s="54"/>
      <c r="G547" s="54"/>
      <c r="H547" s="54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x14ac:dyDescent="0.2">
      <c r="A548" s="49"/>
      <c r="B548" s="49"/>
      <c r="C548" s="49"/>
      <c r="D548" s="49"/>
      <c r="E548" s="49"/>
      <c r="F548" s="54"/>
      <c r="G548" s="54"/>
      <c r="H548" s="54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x14ac:dyDescent="0.2">
      <c r="A549" s="49"/>
      <c r="B549" s="49"/>
      <c r="C549" s="49"/>
      <c r="D549" s="49"/>
      <c r="E549" s="49"/>
      <c r="F549" s="54"/>
      <c r="G549" s="54"/>
      <c r="H549" s="54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x14ac:dyDescent="0.2">
      <c r="A550" s="49"/>
      <c r="B550" s="49"/>
      <c r="C550" s="49"/>
      <c r="D550" s="49"/>
      <c r="E550" s="49"/>
      <c r="F550" s="54"/>
      <c r="G550" s="54"/>
      <c r="H550" s="54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x14ac:dyDescent="0.2">
      <c r="A551" s="49"/>
      <c r="B551" s="49"/>
      <c r="C551" s="49"/>
      <c r="D551" s="49"/>
      <c r="E551" s="49"/>
      <c r="F551" s="54"/>
      <c r="G551" s="54"/>
      <c r="H551" s="54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x14ac:dyDescent="0.2">
      <c r="A552" s="49"/>
      <c r="B552" s="49"/>
      <c r="C552" s="49"/>
      <c r="D552" s="49"/>
      <c r="E552" s="49"/>
      <c r="F552" s="54"/>
      <c r="G552" s="54"/>
      <c r="H552" s="54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x14ac:dyDescent="0.2">
      <c r="A553" s="49"/>
      <c r="B553" s="49"/>
      <c r="C553" s="49"/>
      <c r="D553" s="49"/>
      <c r="E553" s="49"/>
      <c r="F553" s="54"/>
      <c r="G553" s="54"/>
      <c r="H553" s="54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x14ac:dyDescent="0.2">
      <c r="A554" s="49"/>
      <c r="B554" s="49"/>
      <c r="C554" s="49"/>
      <c r="D554" s="49"/>
      <c r="E554" s="49"/>
      <c r="F554" s="54"/>
      <c r="G554" s="54"/>
      <c r="H554" s="54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x14ac:dyDescent="0.2">
      <c r="A555" s="49"/>
      <c r="B555" s="49"/>
      <c r="C555" s="49"/>
      <c r="D555" s="49"/>
      <c r="E555" s="49"/>
      <c r="F555" s="54"/>
      <c r="G555" s="54"/>
      <c r="H555" s="54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x14ac:dyDescent="0.2">
      <c r="A556" s="49"/>
      <c r="B556" s="49"/>
      <c r="C556" s="49"/>
      <c r="D556" s="49"/>
      <c r="E556" s="49"/>
      <c r="F556" s="54"/>
      <c r="G556" s="54"/>
      <c r="H556" s="54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x14ac:dyDescent="0.2">
      <c r="A557" s="49"/>
      <c r="B557" s="49"/>
      <c r="C557" s="49"/>
      <c r="D557" s="49"/>
      <c r="E557" s="49"/>
      <c r="F557" s="54"/>
      <c r="G557" s="54"/>
      <c r="H557" s="54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x14ac:dyDescent="0.2">
      <c r="A558" s="49"/>
      <c r="B558" s="49"/>
      <c r="C558" s="49"/>
      <c r="D558" s="49"/>
      <c r="E558" s="49"/>
      <c r="F558" s="54"/>
      <c r="G558" s="54"/>
      <c r="H558" s="54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x14ac:dyDescent="0.2">
      <c r="A559" s="49"/>
      <c r="B559" s="49"/>
      <c r="C559" s="49"/>
      <c r="D559" s="49"/>
      <c r="E559" s="49"/>
      <c r="F559" s="54"/>
      <c r="G559" s="54"/>
      <c r="H559" s="54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x14ac:dyDescent="0.2">
      <c r="A560" s="49"/>
      <c r="B560" s="49"/>
      <c r="C560" s="49"/>
      <c r="D560" s="49"/>
      <c r="E560" s="49"/>
      <c r="F560" s="54"/>
      <c r="G560" s="54"/>
      <c r="H560" s="54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x14ac:dyDescent="0.2">
      <c r="A561" s="49"/>
      <c r="B561" s="49"/>
      <c r="C561" s="49"/>
      <c r="D561" s="49"/>
      <c r="E561" s="49"/>
      <c r="F561" s="54"/>
      <c r="G561" s="54"/>
      <c r="H561" s="54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x14ac:dyDescent="0.2">
      <c r="A562" s="49"/>
      <c r="B562" s="49"/>
      <c r="C562" s="49"/>
      <c r="D562" s="49"/>
      <c r="E562" s="49"/>
      <c r="F562" s="54"/>
      <c r="G562" s="54"/>
      <c r="H562" s="54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x14ac:dyDescent="0.2">
      <c r="A563" s="49"/>
      <c r="B563" s="49"/>
      <c r="C563" s="49"/>
      <c r="D563" s="49"/>
      <c r="E563" s="49"/>
      <c r="F563" s="54"/>
      <c r="G563" s="54"/>
      <c r="H563" s="54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x14ac:dyDescent="0.2">
      <c r="A564" s="49"/>
      <c r="B564" s="49"/>
      <c r="C564" s="49"/>
      <c r="D564" s="49"/>
      <c r="E564" s="49"/>
      <c r="F564" s="54"/>
      <c r="G564" s="54"/>
      <c r="H564" s="54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x14ac:dyDescent="0.2">
      <c r="A565" s="49"/>
      <c r="B565" s="49"/>
      <c r="C565" s="49"/>
      <c r="D565" s="49"/>
      <c r="E565" s="49"/>
      <c r="F565" s="54"/>
      <c r="G565" s="54"/>
      <c r="H565" s="54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x14ac:dyDescent="0.2">
      <c r="A566" s="49"/>
      <c r="B566" s="49"/>
      <c r="C566" s="49"/>
      <c r="D566" s="49"/>
      <c r="E566" s="49"/>
      <c r="F566" s="54"/>
      <c r="G566" s="54"/>
      <c r="H566" s="54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x14ac:dyDescent="0.2">
      <c r="A567" s="49"/>
      <c r="B567" s="49"/>
      <c r="C567" s="49"/>
      <c r="D567" s="49"/>
      <c r="E567" s="49"/>
      <c r="F567" s="54"/>
      <c r="G567" s="54"/>
      <c r="H567" s="54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x14ac:dyDescent="0.2">
      <c r="A568" s="49"/>
      <c r="B568" s="49"/>
      <c r="C568" s="49"/>
      <c r="D568" s="49"/>
      <c r="E568" s="49"/>
      <c r="F568" s="54"/>
      <c r="G568" s="54"/>
      <c r="H568" s="54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x14ac:dyDescent="0.2">
      <c r="A569" s="49"/>
      <c r="B569" s="49"/>
      <c r="C569" s="49"/>
      <c r="D569" s="49"/>
      <c r="E569" s="49"/>
      <c r="F569" s="54"/>
      <c r="G569" s="54"/>
      <c r="H569" s="54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x14ac:dyDescent="0.2">
      <c r="A570" s="49"/>
      <c r="B570" s="49"/>
      <c r="C570" s="49"/>
      <c r="D570" s="49"/>
      <c r="E570" s="49"/>
      <c r="F570" s="54"/>
      <c r="G570" s="54"/>
      <c r="H570" s="54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x14ac:dyDescent="0.2">
      <c r="A571" s="49"/>
      <c r="B571" s="49"/>
      <c r="C571" s="49"/>
      <c r="D571" s="49"/>
      <c r="E571" s="49"/>
      <c r="F571" s="54"/>
      <c r="G571" s="54"/>
      <c r="H571" s="54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x14ac:dyDescent="0.2">
      <c r="A572" s="49"/>
      <c r="B572" s="49"/>
      <c r="C572" s="49"/>
      <c r="D572" s="49"/>
      <c r="E572" s="49"/>
      <c r="F572" s="54"/>
      <c r="G572" s="54"/>
      <c r="H572" s="54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x14ac:dyDescent="0.2">
      <c r="A573" s="49"/>
      <c r="B573" s="49"/>
      <c r="C573" s="49"/>
      <c r="D573" s="49"/>
      <c r="E573" s="49"/>
      <c r="F573" s="54"/>
      <c r="G573" s="54"/>
      <c r="H573" s="54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x14ac:dyDescent="0.2">
      <c r="A574" s="49"/>
      <c r="B574" s="49"/>
      <c r="C574" s="49"/>
      <c r="D574" s="49"/>
      <c r="E574" s="49"/>
      <c r="F574" s="54"/>
      <c r="G574" s="54"/>
      <c r="H574" s="54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x14ac:dyDescent="0.2">
      <c r="A575" s="49"/>
      <c r="B575" s="49"/>
      <c r="C575" s="49"/>
      <c r="D575" s="49"/>
      <c r="E575" s="49"/>
      <c r="F575" s="54"/>
      <c r="G575" s="54"/>
      <c r="H575" s="54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x14ac:dyDescent="0.2">
      <c r="A576" s="49"/>
      <c r="B576" s="49"/>
      <c r="C576" s="49"/>
      <c r="D576" s="49"/>
      <c r="E576" s="49"/>
      <c r="F576" s="54"/>
      <c r="G576" s="54"/>
      <c r="H576" s="54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x14ac:dyDescent="0.2">
      <c r="A577" s="49"/>
      <c r="B577" s="49"/>
      <c r="C577" s="49"/>
      <c r="D577" s="49"/>
      <c r="E577" s="49"/>
      <c r="F577" s="54"/>
      <c r="G577" s="54"/>
      <c r="H577" s="54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x14ac:dyDescent="0.2">
      <c r="A578" s="49"/>
      <c r="B578" s="49"/>
      <c r="C578" s="49"/>
      <c r="D578" s="49"/>
      <c r="E578" s="49"/>
      <c r="F578" s="54"/>
      <c r="G578" s="54"/>
      <c r="H578" s="54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x14ac:dyDescent="0.2">
      <c r="A579" s="49"/>
      <c r="B579" s="49"/>
      <c r="C579" s="49"/>
      <c r="D579" s="49"/>
      <c r="E579" s="49"/>
      <c r="F579" s="54"/>
      <c r="G579" s="54"/>
      <c r="H579" s="54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x14ac:dyDescent="0.2">
      <c r="A580" s="49"/>
      <c r="B580" s="49"/>
      <c r="C580" s="49"/>
      <c r="D580" s="49"/>
      <c r="E580" s="49"/>
      <c r="F580" s="54"/>
      <c r="G580" s="54"/>
      <c r="H580" s="54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x14ac:dyDescent="0.2">
      <c r="A581" s="49"/>
      <c r="B581" s="49"/>
      <c r="C581" s="49"/>
      <c r="D581" s="49"/>
      <c r="E581" s="49"/>
      <c r="F581" s="54"/>
      <c r="G581" s="54"/>
      <c r="H581" s="54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x14ac:dyDescent="0.2">
      <c r="A582" s="49"/>
      <c r="B582" s="49"/>
      <c r="C582" s="49"/>
      <c r="D582" s="49"/>
      <c r="E582" s="49"/>
      <c r="F582" s="54"/>
      <c r="G582" s="54"/>
      <c r="H582" s="54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x14ac:dyDescent="0.2">
      <c r="A583" s="49"/>
      <c r="B583" s="49"/>
      <c r="C583" s="49"/>
      <c r="D583" s="49"/>
      <c r="E583" s="49"/>
      <c r="F583" s="54"/>
      <c r="G583" s="54"/>
      <c r="H583" s="54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x14ac:dyDescent="0.2">
      <c r="A584" s="49"/>
      <c r="B584" s="49"/>
      <c r="C584" s="49"/>
      <c r="D584" s="49"/>
      <c r="E584" s="49"/>
      <c r="F584" s="54"/>
      <c r="G584" s="54"/>
      <c r="H584" s="54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x14ac:dyDescent="0.2">
      <c r="A585" s="49"/>
      <c r="B585" s="49"/>
      <c r="C585" s="49"/>
      <c r="D585" s="49"/>
      <c r="E585" s="49"/>
      <c r="F585" s="54"/>
      <c r="G585" s="54"/>
      <c r="H585" s="54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x14ac:dyDescent="0.2">
      <c r="A586" s="49"/>
      <c r="B586" s="49"/>
      <c r="C586" s="49"/>
      <c r="D586" s="49"/>
      <c r="E586" s="49"/>
      <c r="F586" s="54"/>
      <c r="G586" s="54"/>
      <c r="H586" s="54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x14ac:dyDescent="0.2">
      <c r="A587" s="49"/>
      <c r="B587" s="49"/>
      <c r="C587" s="49"/>
      <c r="D587" s="49"/>
      <c r="E587" s="49"/>
      <c r="F587" s="54"/>
      <c r="G587" s="54"/>
      <c r="H587" s="54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x14ac:dyDescent="0.2">
      <c r="A588" s="49"/>
      <c r="B588" s="49"/>
      <c r="C588" s="49"/>
      <c r="D588" s="49"/>
      <c r="E588" s="49"/>
      <c r="F588" s="54"/>
      <c r="G588" s="54"/>
      <c r="H588" s="54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x14ac:dyDescent="0.2">
      <c r="A589" s="49"/>
      <c r="B589" s="49"/>
      <c r="C589" s="49"/>
      <c r="D589" s="49"/>
      <c r="E589" s="49"/>
      <c r="F589" s="54"/>
      <c r="G589" s="54"/>
      <c r="H589" s="54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x14ac:dyDescent="0.2">
      <c r="A590" s="49"/>
      <c r="B590" s="49"/>
      <c r="C590" s="49"/>
      <c r="D590" s="49"/>
      <c r="E590" s="49"/>
      <c r="F590" s="54"/>
      <c r="G590" s="54"/>
      <c r="H590" s="54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x14ac:dyDescent="0.2">
      <c r="A591" s="49"/>
      <c r="B591" s="49"/>
      <c r="C591" s="49"/>
      <c r="D591" s="49"/>
      <c r="E591" s="49"/>
      <c r="F591" s="54"/>
      <c r="G591" s="54"/>
      <c r="H591" s="54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x14ac:dyDescent="0.2">
      <c r="A592" s="49"/>
      <c r="B592" s="49"/>
      <c r="C592" s="49"/>
      <c r="D592" s="49"/>
      <c r="E592" s="49"/>
      <c r="F592" s="54"/>
      <c r="G592" s="54"/>
      <c r="H592" s="54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x14ac:dyDescent="0.2">
      <c r="A593" s="49"/>
      <c r="B593" s="49"/>
      <c r="C593" s="49"/>
      <c r="D593" s="49"/>
      <c r="E593" s="49"/>
      <c r="F593" s="54"/>
      <c r="G593" s="54"/>
      <c r="H593" s="54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x14ac:dyDescent="0.2">
      <c r="A594" s="49"/>
      <c r="B594" s="49"/>
      <c r="C594" s="49"/>
      <c r="D594" s="49"/>
      <c r="E594" s="49"/>
      <c r="F594" s="54"/>
      <c r="G594" s="54"/>
      <c r="H594" s="54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x14ac:dyDescent="0.2">
      <c r="A595" s="49"/>
      <c r="B595" s="49"/>
      <c r="C595" s="49"/>
      <c r="D595" s="49"/>
      <c r="E595" s="49"/>
      <c r="F595" s="54"/>
      <c r="G595" s="54"/>
      <c r="H595" s="54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x14ac:dyDescent="0.2">
      <c r="A596" s="49"/>
      <c r="B596" s="49"/>
      <c r="C596" s="49"/>
      <c r="D596" s="49"/>
      <c r="E596" s="49"/>
      <c r="F596" s="54"/>
      <c r="G596" s="54"/>
      <c r="H596" s="54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x14ac:dyDescent="0.2">
      <c r="A597" s="49"/>
      <c r="B597" s="49"/>
      <c r="C597" s="49"/>
      <c r="D597" s="49"/>
      <c r="E597" s="49"/>
      <c r="F597" s="54"/>
      <c r="G597" s="54"/>
      <c r="H597" s="54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x14ac:dyDescent="0.2">
      <c r="A598" s="49"/>
      <c r="B598" s="49"/>
      <c r="C598" s="49"/>
      <c r="D598" s="49"/>
      <c r="E598" s="49"/>
      <c r="F598" s="54"/>
      <c r="G598" s="54"/>
      <c r="H598" s="54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x14ac:dyDescent="0.2">
      <c r="A599" s="49"/>
      <c r="B599" s="49"/>
      <c r="C599" s="49"/>
      <c r="D599" s="49"/>
      <c r="E599" s="49"/>
      <c r="F599" s="54"/>
      <c r="G599" s="54"/>
      <c r="H599" s="54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x14ac:dyDescent="0.2">
      <c r="A600" s="49"/>
      <c r="B600" s="49"/>
      <c r="C600" s="49"/>
      <c r="D600" s="49"/>
      <c r="E600" s="49"/>
      <c r="F600" s="54"/>
      <c r="G600" s="54"/>
      <c r="H600" s="54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x14ac:dyDescent="0.2">
      <c r="A601" s="49"/>
      <c r="B601" s="49"/>
      <c r="C601" s="49"/>
      <c r="D601" s="49"/>
      <c r="E601" s="49"/>
      <c r="F601" s="54"/>
      <c r="G601" s="54"/>
      <c r="H601" s="54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x14ac:dyDescent="0.2">
      <c r="A602" s="49"/>
      <c r="B602" s="49"/>
      <c r="C602" s="49"/>
      <c r="D602" s="49"/>
      <c r="E602" s="49"/>
      <c r="F602" s="54"/>
      <c r="G602" s="54"/>
      <c r="H602" s="54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x14ac:dyDescent="0.2">
      <c r="A603" s="49"/>
      <c r="B603" s="49"/>
      <c r="C603" s="49"/>
      <c r="D603" s="49"/>
      <c r="E603" s="49"/>
      <c r="F603" s="54"/>
      <c r="G603" s="54"/>
      <c r="H603" s="54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x14ac:dyDescent="0.2">
      <c r="A604" s="49"/>
      <c r="B604" s="49"/>
      <c r="C604" s="49"/>
      <c r="D604" s="49"/>
      <c r="E604" s="49"/>
      <c r="F604" s="54"/>
      <c r="G604" s="54"/>
      <c r="H604" s="54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x14ac:dyDescent="0.2">
      <c r="A605" s="49"/>
      <c r="B605" s="49"/>
      <c r="C605" s="49"/>
      <c r="D605" s="49"/>
      <c r="E605" s="49"/>
      <c r="F605" s="54"/>
      <c r="G605" s="54"/>
      <c r="H605" s="54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x14ac:dyDescent="0.2">
      <c r="A606" s="49"/>
      <c r="B606" s="49"/>
      <c r="C606" s="49"/>
      <c r="D606" s="49"/>
      <c r="E606" s="49"/>
      <c r="F606" s="54"/>
      <c r="G606" s="54"/>
      <c r="H606" s="54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x14ac:dyDescent="0.2">
      <c r="A607" s="49"/>
      <c r="B607" s="49"/>
      <c r="C607" s="49"/>
      <c r="D607" s="49"/>
      <c r="E607" s="49"/>
      <c r="F607" s="54"/>
      <c r="G607" s="54"/>
      <c r="H607" s="54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x14ac:dyDescent="0.2">
      <c r="A608" s="49"/>
      <c r="B608" s="49"/>
      <c r="C608" s="49"/>
      <c r="D608" s="49"/>
      <c r="E608" s="49"/>
      <c r="F608" s="54"/>
      <c r="G608" s="54"/>
      <c r="H608" s="54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x14ac:dyDescent="0.2">
      <c r="A609" s="49"/>
      <c r="B609" s="49"/>
      <c r="C609" s="49"/>
      <c r="D609" s="49"/>
      <c r="E609" s="49"/>
      <c r="F609" s="54"/>
      <c r="G609" s="54"/>
      <c r="H609" s="54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x14ac:dyDescent="0.2">
      <c r="A610" s="49"/>
      <c r="B610" s="49"/>
      <c r="C610" s="49"/>
      <c r="D610" s="49"/>
      <c r="E610" s="49"/>
      <c r="F610" s="54"/>
      <c r="G610" s="54"/>
      <c r="H610" s="54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x14ac:dyDescent="0.2">
      <c r="A611" s="49"/>
      <c r="B611" s="49"/>
      <c r="C611" s="49"/>
      <c r="D611" s="49"/>
      <c r="E611" s="49"/>
      <c r="F611" s="54"/>
      <c r="G611" s="54"/>
      <c r="H611" s="54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x14ac:dyDescent="0.2">
      <c r="A612" s="49"/>
      <c r="B612" s="49"/>
      <c r="C612" s="49"/>
      <c r="D612" s="49"/>
      <c r="E612" s="49"/>
      <c r="F612" s="54"/>
      <c r="G612" s="54"/>
      <c r="H612" s="54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x14ac:dyDescent="0.2">
      <c r="A613" s="49"/>
      <c r="B613" s="49"/>
      <c r="C613" s="49"/>
      <c r="D613" s="49"/>
      <c r="E613" s="49"/>
      <c r="F613" s="54"/>
      <c r="G613" s="54"/>
      <c r="H613" s="54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x14ac:dyDescent="0.2">
      <c r="A614" s="49"/>
      <c r="B614" s="49"/>
      <c r="C614" s="49"/>
      <c r="D614" s="49"/>
      <c r="E614" s="49"/>
      <c r="F614" s="54"/>
      <c r="G614" s="54"/>
      <c r="H614" s="54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x14ac:dyDescent="0.2">
      <c r="A615" s="49"/>
      <c r="B615" s="49"/>
      <c r="C615" s="49"/>
      <c r="D615" s="49"/>
      <c r="E615" s="49"/>
      <c r="F615" s="54"/>
      <c r="G615" s="54"/>
      <c r="H615" s="54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x14ac:dyDescent="0.2">
      <c r="A616" s="49"/>
      <c r="B616" s="49"/>
      <c r="C616" s="49"/>
      <c r="D616" s="49"/>
      <c r="E616" s="49"/>
      <c r="F616" s="54"/>
      <c r="G616" s="54"/>
      <c r="H616" s="54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x14ac:dyDescent="0.2">
      <c r="A617" s="49"/>
      <c r="B617" s="49"/>
      <c r="C617" s="49"/>
      <c r="D617" s="49"/>
      <c r="E617" s="49"/>
      <c r="F617" s="54"/>
      <c r="G617" s="54"/>
      <c r="H617" s="54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x14ac:dyDescent="0.2">
      <c r="A618" s="49"/>
      <c r="B618" s="49"/>
      <c r="C618" s="49"/>
      <c r="D618" s="49"/>
      <c r="E618" s="49"/>
      <c r="F618" s="54"/>
      <c r="G618" s="54"/>
      <c r="H618" s="54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x14ac:dyDescent="0.2">
      <c r="A619" s="49"/>
      <c r="B619" s="49"/>
      <c r="C619" s="49"/>
      <c r="D619" s="49"/>
      <c r="E619" s="49"/>
      <c r="F619" s="54"/>
      <c r="G619" s="54"/>
      <c r="H619" s="54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x14ac:dyDescent="0.2">
      <c r="A620" s="49"/>
      <c r="B620" s="49"/>
      <c r="C620" s="49"/>
      <c r="D620" s="49"/>
      <c r="E620" s="49"/>
      <c r="F620" s="54"/>
      <c r="G620" s="54"/>
      <c r="H620" s="54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x14ac:dyDescent="0.2">
      <c r="A621" s="49"/>
      <c r="B621" s="49"/>
      <c r="C621" s="49"/>
      <c r="D621" s="49"/>
      <c r="E621" s="49"/>
      <c r="F621" s="54"/>
      <c r="G621" s="54"/>
      <c r="H621" s="54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x14ac:dyDescent="0.2">
      <c r="A622" s="49"/>
      <c r="B622" s="49"/>
      <c r="C622" s="49"/>
      <c r="D622" s="49"/>
      <c r="E622" s="49"/>
      <c r="F622" s="54"/>
      <c r="G622" s="54"/>
      <c r="H622" s="54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x14ac:dyDescent="0.2">
      <c r="A623" s="49"/>
      <c r="B623" s="49"/>
      <c r="C623" s="49"/>
      <c r="D623" s="49"/>
      <c r="E623" s="49"/>
      <c r="F623" s="54"/>
      <c r="G623" s="54"/>
      <c r="H623" s="54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x14ac:dyDescent="0.2">
      <c r="A624" s="49"/>
      <c r="B624" s="49"/>
      <c r="C624" s="49"/>
      <c r="D624" s="49"/>
      <c r="E624" s="49"/>
      <c r="F624" s="54"/>
      <c r="G624" s="54"/>
      <c r="H624" s="54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x14ac:dyDescent="0.2">
      <c r="A625" s="49"/>
      <c r="B625" s="49"/>
      <c r="C625" s="49"/>
      <c r="D625" s="49"/>
      <c r="E625" s="49"/>
      <c r="F625" s="54"/>
      <c r="G625" s="54"/>
      <c r="H625" s="54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x14ac:dyDescent="0.2">
      <c r="A626" s="49"/>
      <c r="B626" s="49"/>
      <c r="C626" s="49"/>
      <c r="D626" s="49"/>
      <c r="E626" s="49"/>
      <c r="F626" s="54"/>
      <c r="G626" s="54"/>
      <c r="H626" s="54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x14ac:dyDescent="0.2">
      <c r="A627" s="49"/>
      <c r="B627" s="49"/>
      <c r="C627" s="49"/>
      <c r="D627" s="49"/>
      <c r="E627" s="49"/>
      <c r="F627" s="54"/>
      <c r="G627" s="54"/>
      <c r="H627" s="54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x14ac:dyDescent="0.2">
      <c r="A628" s="49"/>
      <c r="B628" s="49"/>
      <c r="C628" s="49"/>
      <c r="D628" s="49"/>
      <c r="E628" s="49"/>
      <c r="F628" s="54"/>
      <c r="G628" s="54"/>
      <c r="H628" s="54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x14ac:dyDescent="0.2">
      <c r="A629" s="49"/>
      <c r="B629" s="49"/>
      <c r="C629" s="49"/>
      <c r="D629" s="49"/>
      <c r="E629" s="49"/>
      <c r="F629" s="54"/>
      <c r="G629" s="54"/>
      <c r="H629" s="54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x14ac:dyDescent="0.2">
      <c r="A630" s="49"/>
      <c r="B630" s="49"/>
      <c r="C630" s="49"/>
      <c r="D630" s="49"/>
      <c r="E630" s="49"/>
      <c r="F630" s="54"/>
      <c r="G630" s="54"/>
      <c r="H630" s="54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x14ac:dyDescent="0.2">
      <c r="A631" s="49"/>
      <c r="B631" s="49"/>
      <c r="C631" s="49"/>
      <c r="D631" s="49"/>
      <c r="E631" s="49"/>
      <c r="F631" s="54"/>
      <c r="G631" s="54"/>
      <c r="H631" s="54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x14ac:dyDescent="0.2">
      <c r="A632" s="49"/>
      <c r="B632" s="49"/>
      <c r="C632" s="49"/>
      <c r="D632" s="49"/>
      <c r="E632" s="49"/>
      <c r="F632" s="54"/>
      <c r="G632" s="54"/>
      <c r="H632" s="54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x14ac:dyDescent="0.2">
      <c r="A633" s="49"/>
      <c r="B633" s="49"/>
      <c r="C633" s="49"/>
      <c r="D633" s="49"/>
      <c r="E633" s="49"/>
      <c r="F633" s="54"/>
      <c r="G633" s="54"/>
      <c r="H633" s="54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x14ac:dyDescent="0.2">
      <c r="A634" s="49"/>
      <c r="B634" s="49"/>
      <c r="C634" s="49"/>
      <c r="D634" s="49"/>
      <c r="E634" s="49"/>
      <c r="F634" s="54"/>
      <c r="G634" s="54"/>
      <c r="H634" s="54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x14ac:dyDescent="0.2">
      <c r="A635" s="49"/>
      <c r="B635" s="49"/>
      <c r="C635" s="49"/>
      <c r="D635" s="49"/>
      <c r="E635" s="49"/>
      <c r="F635" s="54"/>
      <c r="G635" s="54"/>
      <c r="H635" s="54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x14ac:dyDescent="0.2">
      <c r="A636" s="49"/>
      <c r="B636" s="49"/>
      <c r="C636" s="49"/>
      <c r="D636" s="49"/>
      <c r="E636" s="49"/>
      <c r="F636" s="54"/>
      <c r="G636" s="54"/>
      <c r="H636" s="54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x14ac:dyDescent="0.2">
      <c r="A637" s="49"/>
      <c r="B637" s="49"/>
      <c r="C637" s="49"/>
      <c r="D637" s="49"/>
      <c r="E637" s="49"/>
      <c r="F637" s="54"/>
      <c r="G637" s="54"/>
      <c r="H637" s="54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x14ac:dyDescent="0.2">
      <c r="A638" s="49"/>
      <c r="B638" s="49"/>
      <c r="C638" s="49"/>
      <c r="D638" s="49"/>
      <c r="E638" s="49"/>
      <c r="F638" s="54"/>
      <c r="G638" s="54"/>
      <c r="H638" s="54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x14ac:dyDescent="0.2">
      <c r="A639" s="49"/>
      <c r="B639" s="49"/>
      <c r="C639" s="49"/>
      <c r="D639" s="49"/>
      <c r="E639" s="49"/>
      <c r="F639" s="54"/>
      <c r="G639" s="54"/>
      <c r="H639" s="54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x14ac:dyDescent="0.2">
      <c r="A640" s="49"/>
      <c r="B640" s="49"/>
      <c r="C640" s="49"/>
      <c r="D640" s="49"/>
      <c r="E640" s="49"/>
      <c r="F640" s="54"/>
      <c r="G640" s="54"/>
      <c r="H640" s="54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x14ac:dyDescent="0.2">
      <c r="A641" s="49"/>
      <c r="B641" s="49"/>
      <c r="C641" s="49"/>
      <c r="D641" s="49"/>
      <c r="E641" s="49"/>
      <c r="F641" s="54"/>
      <c r="G641" s="54"/>
      <c r="H641" s="54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x14ac:dyDescent="0.2">
      <c r="A642" s="49"/>
      <c r="B642" s="49"/>
      <c r="C642" s="49"/>
      <c r="D642" s="49"/>
      <c r="E642" s="49"/>
      <c r="F642" s="54"/>
      <c r="G642" s="54"/>
      <c r="H642" s="54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x14ac:dyDescent="0.2">
      <c r="A643" s="49"/>
      <c r="B643" s="49"/>
      <c r="C643" s="49"/>
      <c r="D643" s="49"/>
      <c r="E643" s="49"/>
      <c r="F643" s="54"/>
      <c r="G643" s="54"/>
      <c r="H643" s="54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x14ac:dyDescent="0.2">
      <c r="A644" s="49"/>
      <c r="B644" s="49"/>
      <c r="C644" s="49"/>
      <c r="D644" s="49"/>
      <c r="E644" s="49"/>
      <c r="F644" s="54"/>
      <c r="G644" s="54"/>
      <c r="H644" s="54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x14ac:dyDescent="0.2">
      <c r="A645" s="49"/>
      <c r="B645" s="49"/>
      <c r="C645" s="49"/>
      <c r="D645" s="49"/>
      <c r="E645" s="49"/>
      <c r="F645" s="54"/>
      <c r="G645" s="54"/>
      <c r="H645" s="54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x14ac:dyDescent="0.2">
      <c r="A646" s="49"/>
      <c r="B646" s="49"/>
      <c r="C646" s="49"/>
      <c r="D646" s="49"/>
      <c r="E646" s="49"/>
      <c r="F646" s="54"/>
      <c r="G646" s="54"/>
      <c r="H646" s="54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x14ac:dyDescent="0.2">
      <c r="A647" s="49"/>
      <c r="B647" s="49"/>
      <c r="C647" s="49"/>
      <c r="D647" s="49"/>
      <c r="E647" s="49"/>
      <c r="F647" s="54"/>
      <c r="G647" s="54"/>
      <c r="H647" s="54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x14ac:dyDescent="0.2">
      <c r="A648" s="49"/>
      <c r="B648" s="49"/>
      <c r="C648" s="49"/>
      <c r="D648" s="49"/>
      <c r="E648" s="49"/>
      <c r="F648" s="54"/>
      <c r="G648" s="54"/>
      <c r="H648" s="54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x14ac:dyDescent="0.2">
      <c r="A649" s="49"/>
      <c r="B649" s="49"/>
      <c r="C649" s="49"/>
      <c r="D649" s="49"/>
      <c r="E649" s="49"/>
      <c r="F649" s="54"/>
      <c r="G649" s="54"/>
      <c r="H649" s="54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x14ac:dyDescent="0.2">
      <c r="A650" s="49"/>
      <c r="B650" s="49"/>
      <c r="C650" s="49"/>
      <c r="D650" s="49"/>
      <c r="E650" s="49"/>
      <c r="F650" s="54"/>
      <c r="G650" s="54"/>
      <c r="H650" s="54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x14ac:dyDescent="0.2">
      <c r="A651" s="49"/>
      <c r="B651" s="49"/>
      <c r="C651" s="49"/>
      <c r="D651" s="49"/>
      <c r="E651" s="49"/>
      <c r="F651" s="54"/>
      <c r="G651" s="54"/>
      <c r="H651" s="54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x14ac:dyDescent="0.2">
      <c r="A652" s="49"/>
      <c r="B652" s="49"/>
      <c r="C652" s="49"/>
      <c r="D652" s="49"/>
      <c r="E652" s="49"/>
      <c r="F652" s="54"/>
      <c r="G652" s="54"/>
      <c r="H652" s="54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x14ac:dyDescent="0.2">
      <c r="A653" s="49"/>
      <c r="B653" s="49"/>
      <c r="C653" s="49"/>
      <c r="D653" s="49"/>
      <c r="E653" s="49"/>
      <c r="F653" s="54"/>
      <c r="G653" s="54"/>
      <c r="H653" s="54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x14ac:dyDescent="0.2">
      <c r="A654" s="49"/>
      <c r="B654" s="49"/>
      <c r="C654" s="49"/>
      <c r="D654" s="49"/>
      <c r="E654" s="49"/>
      <c r="F654" s="54"/>
      <c r="G654" s="54"/>
      <c r="H654" s="54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x14ac:dyDescent="0.2">
      <c r="A655" s="49"/>
      <c r="B655" s="49"/>
      <c r="C655" s="49"/>
      <c r="D655" s="49"/>
      <c r="E655" s="49"/>
      <c r="F655" s="54"/>
      <c r="G655" s="54"/>
      <c r="H655" s="54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x14ac:dyDescent="0.2">
      <c r="A656" s="49"/>
      <c r="B656" s="49"/>
      <c r="C656" s="49"/>
      <c r="D656" s="49"/>
      <c r="E656" s="49"/>
      <c r="F656" s="54"/>
      <c r="G656" s="54"/>
      <c r="H656" s="54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x14ac:dyDescent="0.2">
      <c r="A657" s="49"/>
      <c r="B657" s="49"/>
      <c r="C657" s="49"/>
      <c r="D657" s="49"/>
      <c r="E657" s="49"/>
      <c r="F657" s="54"/>
      <c r="G657" s="54"/>
      <c r="H657" s="54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x14ac:dyDescent="0.2">
      <c r="A658" s="49"/>
      <c r="B658" s="49"/>
      <c r="C658" s="49"/>
      <c r="D658" s="49"/>
      <c r="E658" s="49"/>
      <c r="F658" s="54"/>
      <c r="G658" s="54"/>
      <c r="H658" s="54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x14ac:dyDescent="0.2">
      <c r="A659" s="49"/>
      <c r="B659" s="49"/>
      <c r="C659" s="49"/>
      <c r="D659" s="49"/>
      <c r="E659" s="49"/>
      <c r="F659" s="54"/>
      <c r="G659" s="54"/>
      <c r="H659" s="54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x14ac:dyDescent="0.2">
      <c r="A660" s="49"/>
      <c r="B660" s="49"/>
      <c r="C660" s="49"/>
      <c r="D660" s="49"/>
      <c r="E660" s="49"/>
      <c r="F660" s="54"/>
      <c r="G660" s="54"/>
      <c r="H660" s="54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x14ac:dyDescent="0.2">
      <c r="A661" s="49"/>
      <c r="B661" s="49"/>
      <c r="C661" s="49"/>
      <c r="D661" s="49"/>
      <c r="E661" s="49"/>
      <c r="F661" s="54"/>
      <c r="G661" s="54"/>
      <c r="H661" s="54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x14ac:dyDescent="0.2">
      <c r="A662" s="49"/>
      <c r="B662" s="49"/>
      <c r="C662" s="49"/>
      <c r="D662" s="49"/>
      <c r="E662" s="49"/>
      <c r="F662" s="54"/>
      <c r="G662" s="54"/>
      <c r="H662" s="54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x14ac:dyDescent="0.2">
      <c r="A663" s="49"/>
      <c r="B663" s="49"/>
      <c r="C663" s="49"/>
      <c r="D663" s="49"/>
      <c r="E663" s="49"/>
      <c r="F663" s="54"/>
      <c r="G663" s="54"/>
      <c r="H663" s="54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x14ac:dyDescent="0.2">
      <c r="A664" s="49"/>
      <c r="B664" s="49"/>
      <c r="C664" s="49"/>
      <c r="D664" s="49"/>
      <c r="E664" s="49"/>
      <c r="F664" s="54"/>
      <c r="G664" s="54"/>
      <c r="H664" s="54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x14ac:dyDescent="0.2">
      <c r="A665" s="49"/>
      <c r="B665" s="49"/>
      <c r="C665" s="49"/>
      <c r="D665" s="49"/>
      <c r="E665" s="49"/>
      <c r="F665" s="54"/>
      <c r="G665" s="54"/>
      <c r="H665" s="54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x14ac:dyDescent="0.2">
      <c r="A666" s="49"/>
      <c r="B666" s="49"/>
      <c r="C666" s="49"/>
      <c r="D666" s="49"/>
      <c r="E666" s="49"/>
      <c r="F666" s="54"/>
      <c r="G666" s="54"/>
      <c r="H666" s="54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x14ac:dyDescent="0.2">
      <c r="A667" s="49"/>
      <c r="B667" s="49"/>
      <c r="C667" s="49"/>
      <c r="D667" s="49"/>
      <c r="E667" s="49"/>
      <c r="F667" s="54"/>
      <c r="G667" s="54"/>
      <c r="H667" s="54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x14ac:dyDescent="0.2">
      <c r="A668" s="49"/>
      <c r="B668" s="49"/>
      <c r="C668" s="49"/>
      <c r="D668" s="49"/>
      <c r="E668" s="49"/>
      <c r="F668" s="54"/>
      <c r="G668" s="54"/>
      <c r="H668" s="54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x14ac:dyDescent="0.2">
      <c r="A669" s="49"/>
      <c r="B669" s="49"/>
      <c r="C669" s="49"/>
      <c r="D669" s="49"/>
      <c r="E669" s="49"/>
      <c r="F669" s="54"/>
      <c r="G669" s="54"/>
      <c r="H669" s="54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x14ac:dyDescent="0.2">
      <c r="A670" s="49"/>
      <c r="B670" s="49"/>
      <c r="C670" s="49"/>
      <c r="D670" s="49"/>
      <c r="E670" s="49"/>
      <c r="F670" s="54"/>
      <c r="G670" s="54"/>
      <c r="H670" s="54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x14ac:dyDescent="0.2">
      <c r="A671" s="49"/>
      <c r="B671" s="49"/>
      <c r="C671" s="49"/>
      <c r="D671" s="49"/>
      <c r="E671" s="49"/>
      <c r="F671" s="54"/>
      <c r="G671" s="54"/>
      <c r="H671" s="54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x14ac:dyDescent="0.2">
      <c r="A672" s="49"/>
      <c r="B672" s="49"/>
      <c r="C672" s="49"/>
      <c r="D672" s="49"/>
      <c r="E672" s="49"/>
      <c r="F672" s="54"/>
      <c r="G672" s="54"/>
      <c r="H672" s="54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x14ac:dyDescent="0.2">
      <c r="A673" s="49"/>
      <c r="B673" s="49"/>
      <c r="C673" s="49"/>
      <c r="D673" s="49"/>
      <c r="E673" s="49"/>
      <c r="F673" s="54"/>
      <c r="G673" s="54"/>
      <c r="H673" s="54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x14ac:dyDescent="0.2">
      <c r="A674" s="49"/>
      <c r="B674" s="49"/>
      <c r="C674" s="49"/>
      <c r="D674" s="49"/>
      <c r="E674" s="49"/>
      <c r="F674" s="54"/>
      <c r="G674" s="54"/>
      <c r="H674" s="54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x14ac:dyDescent="0.2">
      <c r="A675" s="49"/>
      <c r="B675" s="49"/>
      <c r="C675" s="49"/>
      <c r="D675" s="49"/>
      <c r="E675" s="49"/>
      <c r="F675" s="54"/>
      <c r="G675" s="54"/>
      <c r="H675" s="54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x14ac:dyDescent="0.2">
      <c r="A676" s="49"/>
      <c r="B676" s="49"/>
      <c r="C676" s="49"/>
      <c r="D676" s="49"/>
      <c r="E676" s="49"/>
      <c r="F676" s="54"/>
      <c r="G676" s="54"/>
      <c r="H676" s="54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x14ac:dyDescent="0.2">
      <c r="A677" s="49"/>
      <c r="B677" s="49"/>
      <c r="C677" s="49"/>
      <c r="D677" s="49"/>
      <c r="E677" s="49"/>
      <c r="F677" s="54"/>
      <c r="G677" s="54"/>
      <c r="H677" s="54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x14ac:dyDescent="0.2">
      <c r="A678" s="49"/>
      <c r="B678" s="49"/>
      <c r="C678" s="49"/>
      <c r="D678" s="49"/>
      <c r="E678" s="49"/>
      <c r="F678" s="54"/>
      <c r="G678" s="54"/>
      <c r="H678" s="54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x14ac:dyDescent="0.2">
      <c r="A679" s="49"/>
      <c r="B679" s="49"/>
      <c r="C679" s="49"/>
      <c r="D679" s="49"/>
      <c r="E679" s="49"/>
      <c r="F679" s="54"/>
      <c r="G679" s="54"/>
      <c r="H679" s="54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x14ac:dyDescent="0.2">
      <c r="A680" s="49"/>
      <c r="B680" s="49"/>
      <c r="C680" s="49"/>
      <c r="D680" s="49"/>
      <c r="E680" s="49"/>
      <c r="F680" s="54"/>
      <c r="G680" s="54"/>
      <c r="H680" s="54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x14ac:dyDescent="0.2">
      <c r="A681" s="49"/>
      <c r="B681" s="49"/>
      <c r="C681" s="49"/>
      <c r="D681" s="49"/>
      <c r="E681" s="49"/>
      <c r="F681" s="54"/>
      <c r="G681" s="54"/>
      <c r="H681" s="54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x14ac:dyDescent="0.2">
      <c r="A682" s="49"/>
      <c r="B682" s="49"/>
      <c r="C682" s="49"/>
      <c r="D682" s="49"/>
      <c r="E682" s="49"/>
      <c r="F682" s="54"/>
      <c r="G682" s="54"/>
      <c r="H682" s="54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x14ac:dyDescent="0.2">
      <c r="A683" s="49"/>
      <c r="B683" s="49"/>
      <c r="C683" s="49"/>
      <c r="D683" s="49"/>
      <c r="E683" s="49"/>
      <c r="F683" s="54"/>
      <c r="G683" s="54"/>
      <c r="H683" s="54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x14ac:dyDescent="0.2">
      <c r="A684" s="49"/>
      <c r="B684" s="49"/>
      <c r="C684" s="49"/>
      <c r="D684" s="49"/>
      <c r="E684" s="49"/>
      <c r="F684" s="54"/>
      <c r="G684" s="54"/>
      <c r="H684" s="54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x14ac:dyDescent="0.2">
      <c r="A685" s="49"/>
      <c r="B685" s="49"/>
      <c r="C685" s="49"/>
      <c r="D685" s="49"/>
      <c r="E685" s="49"/>
      <c r="F685" s="54"/>
      <c r="G685" s="54"/>
      <c r="H685" s="54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x14ac:dyDescent="0.2">
      <c r="A686" s="49"/>
      <c r="B686" s="49"/>
      <c r="C686" s="49"/>
      <c r="D686" s="49"/>
      <c r="E686" s="49"/>
      <c r="F686" s="54"/>
      <c r="G686" s="54"/>
      <c r="H686" s="54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x14ac:dyDescent="0.2">
      <c r="A687" s="49"/>
      <c r="B687" s="49"/>
      <c r="C687" s="49"/>
      <c r="D687" s="49"/>
      <c r="E687" s="49"/>
      <c r="F687" s="54"/>
      <c r="G687" s="54"/>
      <c r="H687" s="54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x14ac:dyDescent="0.2">
      <c r="A688" s="49"/>
      <c r="B688" s="49"/>
      <c r="C688" s="49"/>
      <c r="D688" s="49"/>
      <c r="E688" s="49"/>
      <c r="F688" s="54"/>
      <c r="G688" s="54"/>
      <c r="H688" s="54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x14ac:dyDescent="0.2">
      <c r="A689" s="49"/>
      <c r="B689" s="49"/>
      <c r="C689" s="49"/>
      <c r="D689" s="49"/>
      <c r="E689" s="49"/>
      <c r="F689" s="54"/>
      <c r="G689" s="54"/>
      <c r="H689" s="54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x14ac:dyDescent="0.2">
      <c r="A690" s="49"/>
      <c r="B690" s="49"/>
      <c r="C690" s="49"/>
      <c r="D690" s="49"/>
      <c r="E690" s="49"/>
      <c r="F690" s="54"/>
      <c r="G690" s="54"/>
      <c r="H690" s="54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x14ac:dyDescent="0.2">
      <c r="A691" s="49"/>
      <c r="B691" s="49"/>
      <c r="C691" s="49"/>
      <c r="D691" s="49"/>
      <c r="E691" s="49"/>
      <c r="F691" s="54"/>
      <c r="G691" s="54"/>
      <c r="H691" s="54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x14ac:dyDescent="0.2">
      <c r="A692" s="49"/>
      <c r="B692" s="49"/>
      <c r="C692" s="49"/>
      <c r="D692" s="49"/>
      <c r="E692" s="49"/>
      <c r="F692" s="54"/>
      <c r="G692" s="54"/>
      <c r="H692" s="54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x14ac:dyDescent="0.2">
      <c r="A693" s="49"/>
      <c r="B693" s="49"/>
      <c r="C693" s="49"/>
      <c r="D693" s="49"/>
      <c r="E693" s="49"/>
      <c r="F693" s="54"/>
      <c r="G693" s="54"/>
      <c r="H693" s="54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x14ac:dyDescent="0.2">
      <c r="A694" s="49"/>
      <c r="B694" s="49"/>
      <c r="C694" s="49"/>
      <c r="D694" s="49"/>
      <c r="E694" s="49"/>
      <c r="F694" s="54"/>
      <c r="G694" s="54"/>
      <c r="H694" s="54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x14ac:dyDescent="0.2">
      <c r="A695" s="49"/>
      <c r="B695" s="49"/>
      <c r="C695" s="49"/>
      <c r="D695" s="49"/>
      <c r="E695" s="49"/>
      <c r="F695" s="54"/>
      <c r="G695" s="54"/>
      <c r="H695" s="54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x14ac:dyDescent="0.2">
      <c r="A696" s="49"/>
      <c r="B696" s="49"/>
      <c r="C696" s="49"/>
      <c r="D696" s="49"/>
      <c r="E696" s="49"/>
      <c r="F696" s="54"/>
      <c r="G696" s="54"/>
      <c r="H696" s="54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x14ac:dyDescent="0.2">
      <c r="A697" s="49"/>
      <c r="B697" s="49"/>
      <c r="C697" s="49"/>
      <c r="D697" s="49"/>
      <c r="E697" s="49"/>
      <c r="F697" s="54"/>
      <c r="G697" s="54"/>
      <c r="H697" s="54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x14ac:dyDescent="0.2">
      <c r="A698" s="49"/>
      <c r="B698" s="49"/>
      <c r="C698" s="49"/>
      <c r="D698" s="49"/>
      <c r="E698" s="49"/>
      <c r="F698" s="54"/>
      <c r="G698" s="54"/>
      <c r="H698" s="54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x14ac:dyDescent="0.2">
      <c r="A699" s="49"/>
      <c r="B699" s="49"/>
      <c r="C699" s="49"/>
      <c r="D699" s="49"/>
      <c r="E699" s="49"/>
      <c r="F699" s="54"/>
      <c r="G699" s="54"/>
      <c r="H699" s="54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x14ac:dyDescent="0.2">
      <c r="A700" s="49"/>
      <c r="B700" s="49"/>
      <c r="C700" s="49"/>
      <c r="D700" s="49"/>
      <c r="E700" s="49"/>
      <c r="F700" s="54"/>
      <c r="G700" s="54"/>
      <c r="H700" s="54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x14ac:dyDescent="0.2">
      <c r="A701" s="49"/>
      <c r="B701" s="49"/>
      <c r="C701" s="49"/>
      <c r="D701" s="49"/>
      <c r="E701" s="49"/>
      <c r="F701" s="54"/>
      <c r="G701" s="54"/>
      <c r="H701" s="54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x14ac:dyDescent="0.2">
      <c r="A702" s="49"/>
      <c r="B702" s="49"/>
      <c r="C702" s="49"/>
      <c r="D702" s="49"/>
      <c r="E702" s="49"/>
      <c r="F702" s="54"/>
      <c r="G702" s="54"/>
      <c r="H702" s="54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x14ac:dyDescent="0.2">
      <c r="A703" s="49"/>
      <c r="B703" s="49"/>
      <c r="C703" s="49"/>
      <c r="D703" s="49"/>
      <c r="E703" s="49"/>
      <c r="F703" s="54"/>
      <c r="G703" s="54"/>
      <c r="H703" s="54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x14ac:dyDescent="0.2">
      <c r="A704" s="49"/>
      <c r="B704" s="49"/>
      <c r="C704" s="49"/>
      <c r="D704" s="49"/>
      <c r="E704" s="49"/>
      <c r="F704" s="54"/>
      <c r="G704" s="54"/>
      <c r="H704" s="54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x14ac:dyDescent="0.2">
      <c r="A705" s="49"/>
      <c r="B705" s="49"/>
      <c r="C705" s="49"/>
      <c r="D705" s="49"/>
      <c r="E705" s="49"/>
      <c r="F705" s="54"/>
      <c r="G705" s="54"/>
      <c r="H705" s="54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x14ac:dyDescent="0.2">
      <c r="A706" s="49"/>
      <c r="B706" s="49"/>
      <c r="C706" s="49"/>
      <c r="D706" s="49"/>
      <c r="E706" s="49"/>
      <c r="F706" s="54"/>
      <c r="G706" s="54"/>
      <c r="H706" s="54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x14ac:dyDescent="0.2">
      <c r="A707" s="49"/>
      <c r="B707" s="49"/>
      <c r="C707" s="49"/>
      <c r="D707" s="49"/>
      <c r="E707" s="49"/>
      <c r="F707" s="54"/>
      <c r="G707" s="54"/>
      <c r="H707" s="54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x14ac:dyDescent="0.2">
      <c r="A708" s="49"/>
      <c r="B708" s="49"/>
      <c r="C708" s="49"/>
      <c r="D708" s="49"/>
      <c r="E708" s="49"/>
      <c r="F708" s="54"/>
      <c r="G708" s="54"/>
      <c r="H708" s="54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x14ac:dyDescent="0.2">
      <c r="A709" s="49"/>
      <c r="B709" s="49"/>
      <c r="C709" s="49"/>
      <c r="D709" s="49"/>
      <c r="E709" s="49"/>
      <c r="F709" s="54"/>
      <c r="G709" s="54"/>
      <c r="H709" s="54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x14ac:dyDescent="0.2">
      <c r="A710" s="49"/>
      <c r="B710" s="49"/>
      <c r="C710" s="49"/>
      <c r="D710" s="49"/>
      <c r="E710" s="49"/>
      <c r="F710" s="54"/>
      <c r="G710" s="54"/>
      <c r="H710" s="54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x14ac:dyDescent="0.2">
      <c r="A711" s="49"/>
      <c r="B711" s="49"/>
      <c r="C711" s="49"/>
      <c r="D711" s="49"/>
      <c r="E711" s="49"/>
      <c r="F711" s="54"/>
      <c r="G711" s="54"/>
      <c r="H711" s="54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x14ac:dyDescent="0.2">
      <c r="A712" s="49"/>
      <c r="B712" s="49"/>
      <c r="C712" s="49"/>
      <c r="D712" s="49"/>
      <c r="E712" s="49"/>
      <c r="F712" s="54"/>
      <c r="G712" s="54"/>
      <c r="H712" s="54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x14ac:dyDescent="0.2">
      <c r="A713" s="49"/>
      <c r="B713" s="49"/>
      <c r="C713" s="49"/>
      <c r="D713" s="49"/>
      <c r="E713" s="49"/>
      <c r="F713" s="54"/>
      <c r="G713" s="54"/>
      <c r="H713" s="54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x14ac:dyDescent="0.2">
      <c r="A714" s="49"/>
      <c r="B714" s="49"/>
      <c r="C714" s="49"/>
      <c r="D714" s="49"/>
      <c r="E714" s="49"/>
      <c r="F714" s="54"/>
      <c r="G714" s="54"/>
      <c r="H714" s="54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x14ac:dyDescent="0.2">
      <c r="A715" s="49"/>
      <c r="B715" s="49"/>
      <c r="C715" s="49"/>
      <c r="D715" s="49"/>
      <c r="E715" s="49"/>
      <c r="F715" s="54"/>
      <c r="G715" s="54"/>
      <c r="H715" s="54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x14ac:dyDescent="0.2">
      <c r="A716" s="49"/>
      <c r="B716" s="49"/>
      <c r="C716" s="49"/>
      <c r="D716" s="49"/>
      <c r="E716" s="49"/>
      <c r="F716" s="54"/>
      <c r="G716" s="54"/>
      <c r="H716" s="54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x14ac:dyDescent="0.2">
      <c r="A717" s="49"/>
      <c r="B717" s="49"/>
      <c r="C717" s="49"/>
      <c r="D717" s="49"/>
      <c r="E717" s="49"/>
      <c r="F717" s="54"/>
      <c r="G717" s="54"/>
      <c r="H717" s="54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x14ac:dyDescent="0.2">
      <c r="A718" s="49"/>
      <c r="B718" s="49"/>
      <c r="C718" s="49"/>
      <c r="D718" s="49"/>
      <c r="E718" s="49"/>
      <c r="F718" s="54"/>
      <c r="G718" s="54"/>
      <c r="H718" s="54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x14ac:dyDescent="0.2">
      <c r="A719" s="49"/>
      <c r="B719" s="49"/>
      <c r="C719" s="49"/>
      <c r="D719" s="49"/>
      <c r="E719" s="49"/>
      <c r="F719" s="54"/>
      <c r="G719" s="54"/>
      <c r="H719" s="54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x14ac:dyDescent="0.2">
      <c r="A720" s="49"/>
      <c r="B720" s="49"/>
      <c r="C720" s="49"/>
      <c r="D720" s="49"/>
      <c r="E720" s="49"/>
      <c r="F720" s="54"/>
      <c r="G720" s="54"/>
      <c r="H720" s="54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x14ac:dyDescent="0.2">
      <c r="A721" s="49"/>
      <c r="B721" s="49"/>
      <c r="C721" s="49"/>
      <c r="D721" s="49"/>
      <c r="E721" s="49"/>
      <c r="F721" s="54"/>
      <c r="G721" s="54"/>
      <c r="H721" s="54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x14ac:dyDescent="0.2">
      <c r="A722" s="49"/>
      <c r="B722" s="49"/>
      <c r="C722" s="49"/>
      <c r="D722" s="49"/>
      <c r="E722" s="49"/>
      <c r="F722" s="54"/>
      <c r="G722" s="54"/>
      <c r="H722" s="54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x14ac:dyDescent="0.2">
      <c r="A723" s="49"/>
      <c r="B723" s="49"/>
      <c r="C723" s="49"/>
      <c r="D723" s="49"/>
      <c r="E723" s="49"/>
      <c r="F723" s="54"/>
      <c r="G723" s="54"/>
      <c r="H723" s="54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x14ac:dyDescent="0.2">
      <c r="A724" s="49"/>
      <c r="B724" s="49"/>
      <c r="C724" s="49"/>
      <c r="D724" s="49"/>
      <c r="E724" s="49"/>
      <c r="F724" s="54"/>
      <c r="G724" s="54"/>
      <c r="H724" s="54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x14ac:dyDescent="0.2">
      <c r="A725" s="49"/>
      <c r="B725" s="49"/>
      <c r="C725" s="49"/>
      <c r="D725" s="49"/>
      <c r="E725" s="49"/>
      <c r="F725" s="54"/>
      <c r="G725" s="54"/>
      <c r="H725" s="54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x14ac:dyDescent="0.2">
      <c r="A726" s="49"/>
      <c r="B726" s="49"/>
      <c r="C726" s="49"/>
      <c r="D726" s="49"/>
      <c r="E726" s="49"/>
      <c r="F726" s="54"/>
      <c r="G726" s="54"/>
      <c r="H726" s="54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x14ac:dyDescent="0.2">
      <c r="A727" s="49"/>
      <c r="B727" s="49"/>
      <c r="C727" s="49"/>
      <c r="D727" s="49"/>
      <c r="E727" s="49"/>
      <c r="F727" s="54"/>
      <c r="G727" s="54"/>
      <c r="H727" s="54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x14ac:dyDescent="0.2">
      <c r="A728" s="49"/>
      <c r="B728" s="49"/>
      <c r="C728" s="49"/>
      <c r="D728" s="49"/>
      <c r="E728" s="49"/>
      <c r="F728" s="54"/>
      <c r="G728" s="54"/>
      <c r="H728" s="54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x14ac:dyDescent="0.2">
      <c r="A729" s="49"/>
      <c r="B729" s="49"/>
      <c r="C729" s="49"/>
      <c r="D729" s="49"/>
      <c r="E729" s="49"/>
      <c r="F729" s="54"/>
      <c r="G729" s="54"/>
      <c r="H729" s="54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x14ac:dyDescent="0.2">
      <c r="A730" s="49"/>
      <c r="B730" s="49"/>
      <c r="C730" s="49"/>
      <c r="D730" s="49"/>
      <c r="E730" s="49"/>
      <c r="F730" s="54"/>
      <c r="G730" s="54"/>
      <c r="H730" s="54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x14ac:dyDescent="0.2">
      <c r="A731" s="49"/>
      <c r="B731" s="49"/>
      <c r="C731" s="49"/>
      <c r="D731" s="49"/>
      <c r="E731" s="49"/>
      <c r="F731" s="54"/>
      <c r="G731" s="54"/>
      <c r="H731" s="54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x14ac:dyDescent="0.2">
      <c r="A732" s="49"/>
      <c r="B732" s="49"/>
      <c r="C732" s="49"/>
      <c r="D732" s="49"/>
      <c r="E732" s="49"/>
      <c r="F732" s="54"/>
      <c r="G732" s="54"/>
      <c r="H732" s="54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x14ac:dyDescent="0.2">
      <c r="A733" s="49"/>
      <c r="B733" s="49"/>
      <c r="C733" s="49"/>
      <c r="D733" s="49"/>
      <c r="E733" s="49"/>
      <c r="F733" s="54"/>
      <c r="G733" s="54"/>
      <c r="H733" s="54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x14ac:dyDescent="0.2">
      <c r="A734" s="49"/>
      <c r="B734" s="49"/>
      <c r="C734" s="49"/>
      <c r="D734" s="49"/>
      <c r="E734" s="49"/>
      <c r="F734" s="54"/>
      <c r="G734" s="54"/>
      <c r="H734" s="54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x14ac:dyDescent="0.2">
      <c r="A735" s="49"/>
      <c r="B735" s="49"/>
      <c r="C735" s="49"/>
      <c r="D735" s="49"/>
      <c r="E735" s="49"/>
      <c r="F735" s="54"/>
      <c r="G735" s="54"/>
      <c r="H735" s="54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x14ac:dyDescent="0.2">
      <c r="A736" s="49"/>
      <c r="B736" s="49"/>
      <c r="C736" s="49"/>
      <c r="D736" s="49"/>
      <c r="E736" s="49"/>
      <c r="F736" s="54"/>
      <c r="G736" s="54"/>
      <c r="H736" s="54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x14ac:dyDescent="0.2">
      <c r="A737" s="49"/>
      <c r="B737" s="49"/>
      <c r="C737" s="49"/>
      <c r="D737" s="49"/>
      <c r="E737" s="49"/>
      <c r="F737" s="54"/>
      <c r="G737" s="54"/>
      <c r="H737" s="54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x14ac:dyDescent="0.2">
      <c r="A738" s="49"/>
      <c r="B738" s="49"/>
      <c r="C738" s="49"/>
      <c r="D738" s="49"/>
      <c r="E738" s="49"/>
      <c r="F738" s="54"/>
      <c r="G738" s="54"/>
      <c r="H738" s="54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x14ac:dyDescent="0.2">
      <c r="A739" s="49"/>
      <c r="B739" s="49"/>
      <c r="C739" s="49"/>
      <c r="D739" s="49"/>
      <c r="E739" s="49"/>
      <c r="F739" s="54"/>
      <c r="G739" s="54"/>
      <c r="H739" s="54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x14ac:dyDescent="0.2">
      <c r="A740" s="49"/>
      <c r="B740" s="49"/>
      <c r="C740" s="49"/>
      <c r="D740" s="49"/>
      <c r="E740" s="49"/>
      <c r="F740" s="54"/>
      <c r="G740" s="54"/>
      <c r="H740" s="54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x14ac:dyDescent="0.2">
      <c r="A741" s="49"/>
      <c r="B741" s="49"/>
      <c r="C741" s="49"/>
      <c r="D741" s="49"/>
      <c r="E741" s="49"/>
      <c r="F741" s="54"/>
      <c r="G741" s="54"/>
      <c r="H741" s="54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x14ac:dyDescent="0.2">
      <c r="A742" s="49"/>
      <c r="B742" s="49"/>
      <c r="C742" s="49"/>
      <c r="D742" s="49"/>
      <c r="E742" s="49"/>
      <c r="F742" s="54"/>
      <c r="G742" s="54"/>
      <c r="H742" s="54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x14ac:dyDescent="0.2">
      <c r="A743" s="49"/>
      <c r="B743" s="49"/>
      <c r="C743" s="49"/>
      <c r="D743" s="49"/>
      <c r="E743" s="49"/>
      <c r="F743" s="54"/>
      <c r="G743" s="54"/>
      <c r="H743" s="54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x14ac:dyDescent="0.2">
      <c r="A744" s="49"/>
      <c r="B744" s="49"/>
      <c r="C744" s="49"/>
      <c r="D744" s="49"/>
      <c r="E744" s="49"/>
      <c r="F744" s="54"/>
      <c r="G744" s="54"/>
      <c r="H744" s="54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x14ac:dyDescent="0.2">
      <c r="A745" s="49"/>
      <c r="B745" s="49"/>
      <c r="C745" s="49"/>
      <c r="D745" s="49"/>
      <c r="E745" s="49"/>
      <c r="F745" s="54"/>
      <c r="G745" s="54"/>
      <c r="H745" s="54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x14ac:dyDescent="0.2">
      <c r="A746" s="49"/>
      <c r="B746" s="49"/>
      <c r="C746" s="49"/>
      <c r="D746" s="49"/>
      <c r="E746" s="49"/>
      <c r="F746" s="54"/>
      <c r="G746" s="54"/>
      <c r="H746" s="54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x14ac:dyDescent="0.2">
      <c r="A747" s="49"/>
      <c r="B747" s="49"/>
      <c r="C747" s="49"/>
      <c r="D747" s="49"/>
      <c r="E747" s="49"/>
      <c r="F747" s="54"/>
      <c r="G747" s="54"/>
      <c r="H747" s="54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x14ac:dyDescent="0.2">
      <c r="A748" s="49"/>
      <c r="B748" s="49"/>
      <c r="C748" s="49"/>
      <c r="D748" s="49"/>
      <c r="E748" s="49"/>
      <c r="F748" s="54"/>
      <c r="G748" s="54"/>
      <c r="H748" s="54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x14ac:dyDescent="0.2">
      <c r="A749" s="49"/>
      <c r="B749" s="49"/>
      <c r="C749" s="49"/>
      <c r="D749" s="49"/>
      <c r="E749" s="49"/>
      <c r="F749" s="54"/>
      <c r="G749" s="54"/>
      <c r="H749" s="54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x14ac:dyDescent="0.2">
      <c r="A750" s="49"/>
      <c r="B750" s="49"/>
      <c r="C750" s="49"/>
      <c r="D750" s="49"/>
      <c r="E750" s="49"/>
      <c r="F750" s="54"/>
      <c r="G750" s="54"/>
      <c r="H750" s="54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x14ac:dyDescent="0.2">
      <c r="A751" s="49"/>
      <c r="B751" s="49"/>
      <c r="C751" s="49"/>
      <c r="D751" s="49"/>
      <c r="E751" s="49"/>
      <c r="F751" s="54"/>
      <c r="G751" s="54"/>
      <c r="H751" s="54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x14ac:dyDescent="0.2">
      <c r="A752" s="49"/>
      <c r="B752" s="49"/>
      <c r="C752" s="49"/>
      <c r="D752" s="49"/>
      <c r="E752" s="49"/>
      <c r="F752" s="54"/>
      <c r="G752" s="54"/>
      <c r="H752" s="54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x14ac:dyDescent="0.2">
      <c r="A753" s="49"/>
      <c r="B753" s="49"/>
      <c r="C753" s="49"/>
      <c r="D753" s="49"/>
      <c r="E753" s="49"/>
      <c r="F753" s="54"/>
      <c r="G753" s="54"/>
      <c r="H753" s="54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x14ac:dyDescent="0.2">
      <c r="A754" s="49"/>
      <c r="B754" s="49"/>
      <c r="C754" s="49"/>
      <c r="D754" s="49"/>
      <c r="E754" s="49"/>
      <c r="F754" s="54"/>
      <c r="G754" s="54"/>
      <c r="H754" s="54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x14ac:dyDescent="0.2">
      <c r="A755" s="49"/>
      <c r="B755" s="49"/>
      <c r="C755" s="49"/>
      <c r="D755" s="49"/>
      <c r="E755" s="49"/>
      <c r="F755" s="54"/>
      <c r="G755" s="54"/>
      <c r="H755" s="54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x14ac:dyDescent="0.2">
      <c r="A756" s="49"/>
      <c r="B756" s="49"/>
      <c r="C756" s="49"/>
      <c r="D756" s="49"/>
      <c r="E756" s="49"/>
      <c r="F756" s="54"/>
      <c r="G756" s="54"/>
      <c r="H756" s="54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x14ac:dyDescent="0.2">
      <c r="A757" s="49"/>
      <c r="B757" s="49"/>
      <c r="C757" s="49"/>
      <c r="D757" s="49"/>
      <c r="E757" s="49"/>
      <c r="F757" s="54"/>
      <c r="G757" s="54"/>
      <c r="H757" s="54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x14ac:dyDescent="0.2">
      <c r="A758" s="49"/>
      <c r="B758" s="49"/>
      <c r="C758" s="49"/>
      <c r="D758" s="49"/>
      <c r="E758" s="49"/>
      <c r="F758" s="54"/>
      <c r="G758" s="54"/>
      <c r="H758" s="54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x14ac:dyDescent="0.2">
      <c r="A759" s="49"/>
      <c r="B759" s="49"/>
      <c r="C759" s="49"/>
      <c r="D759" s="49"/>
      <c r="E759" s="49"/>
      <c r="F759" s="54"/>
      <c r="G759" s="54"/>
      <c r="H759" s="54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x14ac:dyDescent="0.2">
      <c r="A760" s="49"/>
      <c r="B760" s="49"/>
      <c r="C760" s="49"/>
      <c r="D760" s="49"/>
      <c r="E760" s="49"/>
      <c r="F760" s="54"/>
      <c r="G760" s="54"/>
      <c r="H760" s="54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x14ac:dyDescent="0.2">
      <c r="A761" s="49"/>
      <c r="B761" s="49"/>
      <c r="C761" s="49"/>
      <c r="D761" s="49"/>
      <c r="E761" s="49"/>
      <c r="F761" s="54"/>
      <c r="G761" s="54"/>
      <c r="H761" s="54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x14ac:dyDescent="0.2">
      <c r="A762" s="49"/>
      <c r="B762" s="49"/>
      <c r="C762" s="49"/>
      <c r="D762" s="49"/>
      <c r="E762" s="49"/>
      <c r="F762" s="54"/>
      <c r="G762" s="54"/>
      <c r="H762" s="54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x14ac:dyDescent="0.2">
      <c r="A763" s="49"/>
      <c r="B763" s="49"/>
      <c r="C763" s="49"/>
      <c r="D763" s="49"/>
      <c r="E763" s="49"/>
      <c r="F763" s="54"/>
      <c r="G763" s="54"/>
      <c r="H763" s="54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x14ac:dyDescent="0.2">
      <c r="A764" s="49"/>
      <c r="B764" s="49"/>
      <c r="C764" s="49"/>
      <c r="D764" s="49"/>
      <c r="E764" s="49"/>
      <c r="F764" s="54"/>
      <c r="G764" s="54"/>
      <c r="H764" s="54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x14ac:dyDescent="0.2">
      <c r="A765" s="49"/>
      <c r="B765" s="49"/>
      <c r="C765" s="49"/>
      <c r="D765" s="49"/>
      <c r="E765" s="49"/>
      <c r="F765" s="54"/>
      <c r="G765" s="54"/>
      <c r="H765" s="54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x14ac:dyDescent="0.2">
      <c r="A766" s="49"/>
      <c r="B766" s="49"/>
      <c r="C766" s="49"/>
      <c r="D766" s="49"/>
      <c r="E766" s="49"/>
      <c r="F766" s="54"/>
      <c r="G766" s="54"/>
      <c r="H766" s="54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x14ac:dyDescent="0.2">
      <c r="A767" s="49"/>
      <c r="B767" s="49"/>
      <c r="C767" s="49"/>
      <c r="D767" s="49"/>
      <c r="E767" s="49"/>
      <c r="F767" s="54"/>
      <c r="G767" s="54"/>
      <c r="H767" s="54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x14ac:dyDescent="0.2">
      <c r="A768" s="49"/>
      <c r="B768" s="49"/>
      <c r="C768" s="49"/>
      <c r="D768" s="49"/>
      <c r="E768" s="49"/>
      <c r="F768" s="54"/>
      <c r="G768" s="54"/>
      <c r="H768" s="54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x14ac:dyDescent="0.2">
      <c r="A769" s="49"/>
      <c r="B769" s="49"/>
      <c r="C769" s="49"/>
      <c r="D769" s="49"/>
      <c r="E769" s="49"/>
      <c r="F769" s="54"/>
      <c r="G769" s="54"/>
      <c r="H769" s="54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x14ac:dyDescent="0.2">
      <c r="A770" s="49"/>
      <c r="B770" s="49"/>
      <c r="C770" s="49"/>
      <c r="D770" s="49"/>
      <c r="E770" s="49"/>
      <c r="F770" s="54"/>
      <c r="G770" s="54"/>
      <c r="H770" s="54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x14ac:dyDescent="0.2">
      <c r="A771" s="49"/>
      <c r="B771" s="49"/>
      <c r="C771" s="49"/>
      <c r="D771" s="49"/>
      <c r="E771" s="49"/>
      <c r="F771" s="54"/>
      <c r="G771" s="54"/>
      <c r="H771" s="54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x14ac:dyDescent="0.2">
      <c r="A772" s="49"/>
      <c r="B772" s="49"/>
      <c r="C772" s="49"/>
      <c r="D772" s="49"/>
      <c r="E772" s="49"/>
      <c r="F772" s="54"/>
      <c r="G772" s="54"/>
      <c r="H772" s="54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x14ac:dyDescent="0.2">
      <c r="A773" s="49"/>
      <c r="B773" s="49"/>
      <c r="C773" s="49"/>
      <c r="D773" s="49"/>
      <c r="E773" s="49"/>
      <c r="F773" s="54"/>
      <c r="G773" s="54"/>
      <c r="H773" s="54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x14ac:dyDescent="0.2">
      <c r="A774" s="49"/>
      <c r="B774" s="49"/>
      <c r="C774" s="49"/>
      <c r="D774" s="49"/>
      <c r="E774" s="49"/>
      <c r="F774" s="54"/>
      <c r="G774" s="54"/>
      <c r="H774" s="54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x14ac:dyDescent="0.2">
      <c r="A775" s="49"/>
      <c r="B775" s="49"/>
      <c r="C775" s="49"/>
      <c r="D775" s="49"/>
      <c r="E775" s="49"/>
      <c r="F775" s="54"/>
      <c r="G775" s="54"/>
      <c r="H775" s="54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x14ac:dyDescent="0.2">
      <c r="A776" s="49"/>
      <c r="B776" s="49"/>
      <c r="C776" s="49"/>
      <c r="D776" s="49"/>
      <c r="E776" s="49"/>
      <c r="F776" s="54"/>
      <c r="G776" s="54"/>
      <c r="H776" s="54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x14ac:dyDescent="0.2">
      <c r="A777" s="49"/>
      <c r="B777" s="49"/>
      <c r="C777" s="49"/>
      <c r="D777" s="49"/>
      <c r="E777" s="49"/>
      <c r="F777" s="54"/>
      <c r="G777" s="54"/>
      <c r="H777" s="54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x14ac:dyDescent="0.2">
      <c r="A778" s="49"/>
      <c r="B778" s="49"/>
      <c r="C778" s="49"/>
      <c r="D778" s="49"/>
      <c r="E778" s="49"/>
      <c r="F778" s="54"/>
      <c r="G778" s="54"/>
      <c r="H778" s="54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x14ac:dyDescent="0.2">
      <c r="A779" s="49"/>
      <c r="B779" s="49"/>
      <c r="C779" s="49"/>
      <c r="D779" s="49"/>
      <c r="E779" s="49"/>
      <c r="F779" s="54"/>
      <c r="G779" s="54"/>
      <c r="H779" s="54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x14ac:dyDescent="0.2">
      <c r="A780" s="49"/>
      <c r="B780" s="49"/>
      <c r="C780" s="49"/>
      <c r="D780" s="49"/>
      <c r="E780" s="49"/>
      <c r="F780" s="54"/>
      <c r="G780" s="54"/>
      <c r="H780" s="54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x14ac:dyDescent="0.2">
      <c r="A781" s="49"/>
      <c r="B781" s="49"/>
      <c r="C781" s="49"/>
      <c r="D781" s="49"/>
      <c r="E781" s="49"/>
      <c r="F781" s="54"/>
      <c r="G781" s="54"/>
      <c r="H781" s="54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x14ac:dyDescent="0.2">
      <c r="A782" s="49"/>
      <c r="B782" s="49"/>
      <c r="C782" s="49"/>
      <c r="D782" s="49"/>
      <c r="E782" s="49"/>
      <c r="F782" s="54"/>
      <c r="G782" s="54"/>
      <c r="H782" s="54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x14ac:dyDescent="0.2">
      <c r="A783" s="49"/>
      <c r="B783" s="49"/>
      <c r="C783" s="49"/>
      <c r="D783" s="49"/>
      <c r="E783" s="49"/>
      <c r="F783" s="54"/>
      <c r="G783" s="54"/>
      <c r="H783" s="54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x14ac:dyDescent="0.2">
      <c r="A784" s="49"/>
      <c r="B784" s="49"/>
      <c r="C784" s="49"/>
      <c r="D784" s="49"/>
      <c r="E784" s="49"/>
      <c r="F784" s="54"/>
      <c r="G784" s="54"/>
      <c r="H784" s="54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x14ac:dyDescent="0.2">
      <c r="A785" s="49"/>
      <c r="B785" s="49"/>
      <c r="C785" s="49"/>
      <c r="D785" s="49"/>
      <c r="E785" s="49"/>
      <c r="F785" s="54"/>
      <c r="G785" s="54"/>
      <c r="H785" s="54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x14ac:dyDescent="0.2">
      <c r="A786" s="49"/>
      <c r="B786" s="49"/>
      <c r="C786" s="49"/>
      <c r="D786" s="49"/>
      <c r="E786" s="49"/>
      <c r="F786" s="54"/>
      <c r="G786" s="54"/>
      <c r="H786" s="54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x14ac:dyDescent="0.2">
      <c r="A787" s="49"/>
      <c r="B787" s="49"/>
      <c r="C787" s="49"/>
      <c r="D787" s="49"/>
      <c r="E787" s="49"/>
      <c r="F787" s="54"/>
      <c r="G787" s="54"/>
      <c r="H787" s="54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x14ac:dyDescent="0.2">
      <c r="A788" s="49"/>
      <c r="B788" s="49"/>
      <c r="C788" s="49"/>
      <c r="D788" s="49"/>
      <c r="E788" s="49"/>
      <c r="F788" s="54"/>
      <c r="G788" s="54"/>
      <c r="H788" s="54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x14ac:dyDescent="0.2">
      <c r="A789" s="49"/>
      <c r="B789" s="49"/>
      <c r="C789" s="49"/>
      <c r="D789" s="49"/>
      <c r="E789" s="49"/>
      <c r="F789" s="54"/>
      <c r="G789" s="54"/>
      <c r="H789" s="54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x14ac:dyDescent="0.2">
      <c r="A790" s="49"/>
      <c r="B790" s="49"/>
      <c r="C790" s="49"/>
      <c r="D790" s="49"/>
      <c r="E790" s="49"/>
      <c r="F790" s="54"/>
      <c r="G790" s="54"/>
      <c r="H790" s="54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x14ac:dyDescent="0.2">
      <c r="A791" s="49"/>
      <c r="B791" s="49"/>
      <c r="C791" s="49"/>
      <c r="D791" s="49"/>
      <c r="E791" s="49"/>
      <c r="F791" s="54"/>
      <c r="G791" s="54"/>
      <c r="H791" s="54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x14ac:dyDescent="0.2">
      <c r="A792" s="49"/>
      <c r="B792" s="49"/>
      <c r="C792" s="49"/>
      <c r="D792" s="49"/>
      <c r="E792" s="49"/>
      <c r="F792" s="54"/>
      <c r="G792" s="54"/>
      <c r="H792" s="54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x14ac:dyDescent="0.2">
      <c r="A793" s="49"/>
      <c r="B793" s="49"/>
      <c r="C793" s="49"/>
      <c r="D793" s="49"/>
      <c r="E793" s="49"/>
      <c r="F793" s="54"/>
      <c r="G793" s="54"/>
      <c r="H793" s="54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x14ac:dyDescent="0.2">
      <c r="A794" s="49"/>
      <c r="B794" s="49"/>
      <c r="C794" s="49"/>
      <c r="D794" s="49"/>
      <c r="E794" s="49"/>
      <c r="F794" s="54"/>
      <c r="G794" s="54"/>
      <c r="H794" s="54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x14ac:dyDescent="0.2">
      <c r="A795" s="49"/>
      <c r="B795" s="49"/>
      <c r="C795" s="49"/>
      <c r="D795" s="49"/>
      <c r="E795" s="49"/>
      <c r="F795" s="54"/>
      <c r="G795" s="54"/>
      <c r="H795" s="54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x14ac:dyDescent="0.2">
      <c r="A796" s="49"/>
      <c r="B796" s="49"/>
      <c r="C796" s="49"/>
      <c r="D796" s="49"/>
      <c r="E796" s="49"/>
      <c r="F796" s="54"/>
      <c r="G796" s="54"/>
      <c r="H796" s="54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x14ac:dyDescent="0.2">
      <c r="A797" s="49"/>
      <c r="B797" s="49"/>
      <c r="C797" s="49"/>
      <c r="D797" s="49"/>
      <c r="E797" s="49"/>
      <c r="F797" s="54"/>
      <c r="G797" s="54"/>
      <c r="H797" s="54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x14ac:dyDescent="0.2">
      <c r="A798" s="49"/>
      <c r="B798" s="49"/>
      <c r="C798" s="49"/>
      <c r="D798" s="49"/>
      <c r="E798" s="49"/>
      <c r="F798" s="54"/>
      <c r="G798" s="54"/>
      <c r="H798" s="54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x14ac:dyDescent="0.2">
      <c r="A799" s="49"/>
      <c r="B799" s="49"/>
      <c r="C799" s="49"/>
      <c r="D799" s="49"/>
      <c r="E799" s="49"/>
      <c r="F799" s="54"/>
      <c r="G799" s="54"/>
      <c r="H799" s="54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x14ac:dyDescent="0.2">
      <c r="A800" s="49"/>
      <c r="B800" s="49"/>
      <c r="C800" s="49"/>
      <c r="D800" s="49"/>
      <c r="E800" s="49"/>
      <c r="F800" s="54"/>
      <c r="G800" s="54"/>
      <c r="H800" s="54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x14ac:dyDescent="0.2">
      <c r="A801" s="49"/>
      <c r="B801" s="49"/>
      <c r="C801" s="49"/>
      <c r="D801" s="49"/>
      <c r="E801" s="49"/>
      <c r="F801" s="54"/>
      <c r="G801" s="54"/>
      <c r="H801" s="54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x14ac:dyDescent="0.2">
      <c r="A802" s="49"/>
      <c r="B802" s="49"/>
      <c r="C802" s="49"/>
      <c r="D802" s="49"/>
      <c r="E802" s="49"/>
      <c r="F802" s="54"/>
      <c r="G802" s="54"/>
      <c r="H802" s="54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x14ac:dyDescent="0.2">
      <c r="A803" s="49"/>
      <c r="B803" s="49"/>
      <c r="C803" s="49"/>
      <c r="D803" s="49"/>
      <c r="E803" s="49"/>
      <c r="F803" s="54"/>
      <c r="G803" s="54"/>
      <c r="H803" s="54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x14ac:dyDescent="0.2">
      <c r="A804" s="49"/>
      <c r="B804" s="49"/>
      <c r="C804" s="49"/>
      <c r="D804" s="49"/>
      <c r="E804" s="49"/>
      <c r="F804" s="54"/>
      <c r="G804" s="54"/>
      <c r="H804" s="54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x14ac:dyDescent="0.2">
      <c r="A805" s="49"/>
      <c r="B805" s="49"/>
      <c r="C805" s="49"/>
      <c r="D805" s="49"/>
      <c r="E805" s="49"/>
      <c r="F805" s="54"/>
      <c r="G805" s="54"/>
      <c r="H805" s="54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x14ac:dyDescent="0.2">
      <c r="A806" s="49"/>
      <c r="B806" s="49"/>
      <c r="C806" s="49"/>
      <c r="D806" s="49"/>
      <c r="E806" s="49"/>
      <c r="F806" s="54"/>
      <c r="G806" s="54"/>
      <c r="H806" s="54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x14ac:dyDescent="0.2">
      <c r="A807" s="49"/>
      <c r="B807" s="49"/>
      <c r="C807" s="49"/>
      <c r="D807" s="49"/>
      <c r="E807" s="49"/>
      <c r="F807" s="54"/>
      <c r="G807" s="54"/>
      <c r="H807" s="54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x14ac:dyDescent="0.2">
      <c r="A808" s="49"/>
      <c r="B808" s="49"/>
      <c r="C808" s="49"/>
      <c r="D808" s="49"/>
      <c r="E808" s="49"/>
      <c r="F808" s="54"/>
      <c r="G808" s="54"/>
      <c r="H808" s="54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x14ac:dyDescent="0.2">
      <c r="A809" s="49"/>
      <c r="B809" s="49"/>
      <c r="C809" s="49"/>
      <c r="D809" s="49"/>
      <c r="E809" s="49"/>
      <c r="F809" s="54"/>
      <c r="G809" s="54"/>
      <c r="H809" s="54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x14ac:dyDescent="0.2">
      <c r="A810" s="49"/>
      <c r="B810" s="49"/>
      <c r="C810" s="49"/>
      <c r="D810" s="49"/>
      <c r="E810" s="49"/>
      <c r="F810" s="54"/>
      <c r="G810" s="54"/>
      <c r="H810" s="54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x14ac:dyDescent="0.2">
      <c r="A811" s="49"/>
      <c r="B811" s="49"/>
      <c r="C811" s="49"/>
      <c r="D811" s="49"/>
      <c r="E811" s="49"/>
      <c r="F811" s="54"/>
      <c r="G811" s="54"/>
      <c r="H811" s="54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x14ac:dyDescent="0.2">
      <c r="A812" s="49"/>
      <c r="B812" s="49"/>
      <c r="C812" s="49"/>
      <c r="D812" s="49"/>
      <c r="E812" s="49"/>
      <c r="F812" s="54"/>
      <c r="G812" s="54"/>
      <c r="H812" s="54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x14ac:dyDescent="0.2">
      <c r="A813" s="49"/>
      <c r="B813" s="49"/>
      <c r="C813" s="49"/>
      <c r="D813" s="49"/>
      <c r="E813" s="49"/>
      <c r="F813" s="54"/>
      <c r="G813" s="54"/>
      <c r="H813" s="54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x14ac:dyDescent="0.2">
      <c r="A814" s="49"/>
      <c r="B814" s="49"/>
      <c r="C814" s="49"/>
      <c r="D814" s="49"/>
      <c r="E814" s="49"/>
      <c r="F814" s="54"/>
      <c r="G814" s="54"/>
      <c r="H814" s="54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x14ac:dyDescent="0.2">
      <c r="A815" s="49"/>
      <c r="B815" s="49"/>
      <c r="C815" s="49"/>
      <c r="D815" s="49"/>
      <c r="E815" s="49"/>
      <c r="F815" s="54"/>
      <c r="G815" s="54"/>
      <c r="H815" s="54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x14ac:dyDescent="0.2">
      <c r="A816" s="49"/>
      <c r="B816" s="49"/>
      <c r="C816" s="49"/>
      <c r="D816" s="49"/>
      <c r="E816" s="49"/>
      <c r="F816" s="54"/>
      <c r="G816" s="54"/>
      <c r="H816" s="54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x14ac:dyDescent="0.2">
      <c r="A817" s="49"/>
      <c r="B817" s="49"/>
      <c r="C817" s="49"/>
      <c r="D817" s="49"/>
      <c r="E817" s="49"/>
      <c r="F817" s="54"/>
      <c r="G817" s="54"/>
      <c r="H817" s="54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x14ac:dyDescent="0.2">
      <c r="A818" s="49"/>
      <c r="B818" s="49"/>
      <c r="C818" s="49"/>
      <c r="D818" s="49"/>
      <c r="E818" s="49"/>
      <c r="F818" s="54"/>
      <c r="G818" s="54"/>
      <c r="H818" s="54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x14ac:dyDescent="0.2">
      <c r="A819" s="49"/>
      <c r="B819" s="49"/>
      <c r="C819" s="49"/>
      <c r="D819" s="49"/>
      <c r="E819" s="49"/>
      <c r="F819" s="54"/>
      <c r="G819" s="54"/>
      <c r="H819" s="54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x14ac:dyDescent="0.2">
      <c r="A820" s="49"/>
      <c r="B820" s="49"/>
      <c r="C820" s="49"/>
      <c r="D820" s="49"/>
      <c r="E820" s="49"/>
      <c r="F820" s="54"/>
      <c r="G820" s="54"/>
      <c r="H820" s="54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x14ac:dyDescent="0.2">
      <c r="A821" s="49"/>
      <c r="B821" s="49"/>
      <c r="C821" s="49"/>
      <c r="D821" s="49"/>
      <c r="E821" s="49"/>
      <c r="F821" s="54"/>
      <c r="G821" s="54"/>
      <c r="H821" s="54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x14ac:dyDescent="0.2">
      <c r="A822" s="49"/>
      <c r="B822" s="49"/>
      <c r="C822" s="49"/>
      <c r="D822" s="49"/>
      <c r="E822" s="49"/>
      <c r="F822" s="54"/>
      <c r="G822" s="54"/>
      <c r="H822" s="54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x14ac:dyDescent="0.2">
      <c r="A823" s="49"/>
      <c r="B823" s="49"/>
      <c r="C823" s="49"/>
      <c r="D823" s="49"/>
      <c r="E823" s="49"/>
      <c r="F823" s="54"/>
      <c r="G823" s="54"/>
      <c r="H823" s="54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x14ac:dyDescent="0.2">
      <c r="A824" s="49"/>
      <c r="B824" s="49"/>
      <c r="C824" s="49"/>
      <c r="D824" s="49"/>
      <c r="E824" s="49"/>
      <c r="F824" s="54"/>
      <c r="G824" s="54"/>
      <c r="H824" s="54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x14ac:dyDescent="0.2">
      <c r="A825" s="49"/>
      <c r="B825" s="49"/>
      <c r="C825" s="49"/>
      <c r="D825" s="49"/>
      <c r="E825" s="49"/>
      <c r="F825" s="54"/>
      <c r="G825" s="54"/>
      <c r="H825" s="54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x14ac:dyDescent="0.2">
      <c r="A826" s="49"/>
      <c r="B826" s="49"/>
      <c r="C826" s="49"/>
      <c r="D826" s="49"/>
      <c r="E826" s="49"/>
      <c r="F826" s="54"/>
      <c r="G826" s="54"/>
      <c r="H826" s="54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x14ac:dyDescent="0.2">
      <c r="A827" s="49"/>
      <c r="B827" s="49"/>
      <c r="C827" s="49"/>
      <c r="D827" s="49"/>
      <c r="E827" s="49"/>
      <c r="F827" s="54"/>
      <c r="G827" s="54"/>
      <c r="H827" s="54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x14ac:dyDescent="0.2">
      <c r="A828" s="49"/>
      <c r="B828" s="49"/>
      <c r="C828" s="49"/>
      <c r="D828" s="49"/>
      <c r="E828" s="49"/>
      <c r="F828" s="54"/>
      <c r="G828" s="54"/>
      <c r="H828" s="54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x14ac:dyDescent="0.2">
      <c r="A829" s="49"/>
      <c r="B829" s="49"/>
      <c r="C829" s="49"/>
      <c r="D829" s="49"/>
      <c r="E829" s="49"/>
      <c r="F829" s="54"/>
      <c r="G829" s="54"/>
      <c r="H829" s="54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x14ac:dyDescent="0.2">
      <c r="A830" s="49"/>
      <c r="B830" s="49"/>
      <c r="C830" s="49"/>
      <c r="D830" s="49"/>
      <c r="E830" s="49"/>
      <c r="F830" s="54"/>
      <c r="G830" s="54"/>
      <c r="H830" s="54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x14ac:dyDescent="0.2">
      <c r="A831" s="49"/>
      <c r="B831" s="49"/>
      <c r="C831" s="49"/>
      <c r="D831" s="49"/>
      <c r="E831" s="49"/>
      <c r="F831" s="54"/>
      <c r="G831" s="54"/>
      <c r="H831" s="54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x14ac:dyDescent="0.2">
      <c r="A832" s="49"/>
      <c r="B832" s="49"/>
      <c r="C832" s="49"/>
      <c r="D832" s="49"/>
      <c r="E832" s="49"/>
      <c r="F832" s="54"/>
      <c r="G832" s="54"/>
      <c r="H832" s="54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x14ac:dyDescent="0.2">
      <c r="A833" s="49"/>
      <c r="B833" s="49"/>
      <c r="C833" s="49"/>
      <c r="D833" s="49"/>
      <c r="E833" s="49"/>
      <c r="F833" s="54"/>
      <c r="G833" s="54"/>
      <c r="H833" s="54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x14ac:dyDescent="0.2">
      <c r="A834" s="49"/>
      <c r="B834" s="49"/>
      <c r="C834" s="49"/>
      <c r="D834" s="49"/>
      <c r="E834" s="49"/>
      <c r="F834" s="54"/>
      <c r="G834" s="54"/>
      <c r="H834" s="54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x14ac:dyDescent="0.2">
      <c r="A835" s="49"/>
      <c r="B835" s="49"/>
      <c r="C835" s="49"/>
      <c r="D835" s="49"/>
      <c r="E835" s="49"/>
      <c r="F835" s="54"/>
      <c r="G835" s="54"/>
      <c r="H835" s="54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x14ac:dyDescent="0.2">
      <c r="A836" s="49"/>
      <c r="B836" s="49"/>
      <c r="C836" s="49"/>
      <c r="D836" s="49"/>
      <c r="E836" s="49"/>
      <c r="F836" s="54"/>
      <c r="G836" s="54"/>
      <c r="H836" s="54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x14ac:dyDescent="0.2">
      <c r="A837" s="49"/>
      <c r="B837" s="49"/>
      <c r="C837" s="49"/>
      <c r="D837" s="49"/>
      <c r="E837" s="49"/>
      <c r="F837" s="54"/>
      <c r="G837" s="54"/>
      <c r="H837" s="54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x14ac:dyDescent="0.2">
      <c r="A838" s="49"/>
      <c r="B838" s="49"/>
      <c r="C838" s="49"/>
      <c r="D838" s="49"/>
      <c r="E838" s="49"/>
      <c r="F838" s="54"/>
      <c r="G838" s="54"/>
      <c r="H838" s="54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x14ac:dyDescent="0.2">
      <c r="A839" s="49"/>
      <c r="B839" s="49"/>
      <c r="C839" s="49"/>
      <c r="D839" s="49"/>
      <c r="E839" s="49"/>
      <c r="F839" s="54"/>
      <c r="G839" s="54"/>
      <c r="H839" s="54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x14ac:dyDescent="0.2">
      <c r="A840" s="49"/>
      <c r="B840" s="49"/>
      <c r="C840" s="49"/>
      <c r="D840" s="49"/>
      <c r="E840" s="49"/>
      <c r="F840" s="54"/>
      <c r="G840" s="54"/>
      <c r="H840" s="54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x14ac:dyDescent="0.2">
      <c r="A841" s="49"/>
      <c r="B841" s="49"/>
      <c r="C841" s="49"/>
      <c r="D841" s="49"/>
      <c r="E841" s="49"/>
      <c r="F841" s="54"/>
      <c r="G841" s="54"/>
      <c r="H841" s="54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x14ac:dyDescent="0.2">
      <c r="A842" s="49"/>
      <c r="B842" s="49"/>
      <c r="C842" s="49"/>
      <c r="D842" s="49"/>
      <c r="E842" s="49"/>
      <c r="F842" s="54"/>
      <c r="G842" s="54"/>
      <c r="H842" s="54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x14ac:dyDescent="0.2">
      <c r="A843" s="49"/>
      <c r="B843" s="49"/>
      <c r="C843" s="49"/>
      <c r="D843" s="49"/>
      <c r="E843" s="49"/>
      <c r="F843" s="54"/>
      <c r="G843" s="54"/>
      <c r="H843" s="54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x14ac:dyDescent="0.2">
      <c r="A844" s="49"/>
      <c r="B844" s="49"/>
      <c r="C844" s="49"/>
      <c r="D844" s="49"/>
      <c r="E844" s="49"/>
      <c r="F844" s="54"/>
      <c r="G844" s="54"/>
      <c r="H844" s="54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x14ac:dyDescent="0.2">
      <c r="A845" s="49"/>
      <c r="B845" s="49"/>
      <c r="C845" s="49"/>
      <c r="D845" s="49"/>
      <c r="E845" s="49"/>
      <c r="F845" s="54"/>
      <c r="G845" s="54"/>
      <c r="H845" s="54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x14ac:dyDescent="0.2">
      <c r="A846" s="49"/>
      <c r="B846" s="49"/>
      <c r="C846" s="49"/>
      <c r="D846" s="49"/>
      <c r="E846" s="49"/>
      <c r="F846" s="54"/>
      <c r="G846" s="54"/>
      <c r="H846" s="54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x14ac:dyDescent="0.2">
      <c r="A847" s="49"/>
      <c r="B847" s="49"/>
      <c r="C847" s="49"/>
      <c r="D847" s="49"/>
      <c r="E847" s="49"/>
      <c r="F847" s="54"/>
      <c r="G847" s="54"/>
      <c r="H847" s="54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x14ac:dyDescent="0.2">
      <c r="A848" s="49"/>
      <c r="B848" s="49"/>
      <c r="C848" s="49"/>
      <c r="D848" s="49"/>
      <c r="E848" s="49"/>
      <c r="F848" s="54"/>
      <c r="G848" s="54"/>
      <c r="H848" s="54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x14ac:dyDescent="0.2">
      <c r="A849" s="49"/>
      <c r="B849" s="49"/>
      <c r="C849" s="49"/>
      <c r="D849" s="49"/>
      <c r="E849" s="49"/>
      <c r="F849" s="54"/>
      <c r="G849" s="54"/>
      <c r="H849" s="54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x14ac:dyDescent="0.2">
      <c r="A850" s="49"/>
      <c r="B850" s="49"/>
      <c r="C850" s="49"/>
      <c r="D850" s="49"/>
      <c r="E850" s="49"/>
      <c r="F850" s="54"/>
      <c r="G850" s="54"/>
      <c r="H850" s="54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x14ac:dyDescent="0.2">
      <c r="A851" s="49"/>
      <c r="B851" s="49"/>
      <c r="C851" s="49"/>
      <c r="D851" s="49"/>
      <c r="E851" s="49"/>
      <c r="F851" s="54"/>
      <c r="G851" s="54"/>
      <c r="H851" s="54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x14ac:dyDescent="0.2">
      <c r="A852" s="49"/>
      <c r="B852" s="49"/>
      <c r="C852" s="49"/>
      <c r="D852" s="49"/>
      <c r="E852" s="49"/>
      <c r="F852" s="54"/>
      <c r="G852" s="54"/>
      <c r="H852" s="54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x14ac:dyDescent="0.2">
      <c r="A853" s="49"/>
      <c r="B853" s="49"/>
      <c r="C853" s="49"/>
      <c r="D853" s="49"/>
      <c r="E853" s="49"/>
      <c r="F853" s="54"/>
      <c r="G853" s="54"/>
      <c r="H853" s="54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x14ac:dyDescent="0.2">
      <c r="A854" s="49"/>
      <c r="B854" s="49"/>
      <c r="C854" s="49"/>
      <c r="D854" s="49"/>
      <c r="E854" s="49"/>
      <c r="F854" s="54"/>
      <c r="G854" s="54"/>
      <c r="H854" s="54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x14ac:dyDescent="0.2">
      <c r="A855" s="49"/>
      <c r="B855" s="49"/>
      <c r="C855" s="49"/>
      <c r="D855" s="49"/>
      <c r="E855" s="49"/>
      <c r="F855" s="54"/>
      <c r="G855" s="54"/>
      <c r="H855" s="54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x14ac:dyDescent="0.2">
      <c r="A856" s="49"/>
      <c r="B856" s="49"/>
      <c r="C856" s="49"/>
      <c r="D856" s="49"/>
      <c r="E856" s="49"/>
      <c r="F856" s="54"/>
      <c r="G856" s="54"/>
      <c r="H856" s="54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x14ac:dyDescent="0.2">
      <c r="A857" s="49"/>
      <c r="B857" s="49"/>
      <c r="C857" s="49"/>
      <c r="D857" s="49"/>
      <c r="E857" s="49"/>
      <c r="F857" s="54"/>
      <c r="G857" s="54"/>
      <c r="H857" s="54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x14ac:dyDescent="0.2">
      <c r="A858" s="49"/>
      <c r="B858" s="49"/>
      <c r="C858" s="49"/>
      <c r="D858" s="49"/>
      <c r="E858" s="49"/>
      <c r="F858" s="54"/>
      <c r="G858" s="54"/>
      <c r="H858" s="54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x14ac:dyDescent="0.2">
      <c r="A859" s="49"/>
      <c r="B859" s="49"/>
      <c r="C859" s="49"/>
      <c r="D859" s="49"/>
      <c r="E859" s="49"/>
      <c r="F859" s="54"/>
      <c r="G859" s="54"/>
      <c r="H859" s="54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x14ac:dyDescent="0.2">
      <c r="A860" s="49"/>
      <c r="B860" s="49"/>
      <c r="C860" s="49"/>
      <c r="D860" s="49"/>
      <c r="E860" s="49"/>
      <c r="F860" s="54"/>
      <c r="G860" s="54"/>
      <c r="H860" s="54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x14ac:dyDescent="0.2">
      <c r="A861" s="49"/>
      <c r="B861" s="49"/>
      <c r="C861" s="49"/>
      <c r="D861" s="49"/>
      <c r="E861" s="49"/>
      <c r="F861" s="54"/>
      <c r="G861" s="54"/>
      <c r="H861" s="54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x14ac:dyDescent="0.2">
      <c r="A862" s="49"/>
      <c r="B862" s="49"/>
      <c r="C862" s="49"/>
      <c r="D862" s="49"/>
      <c r="E862" s="49"/>
      <c r="F862" s="54"/>
      <c r="G862" s="54"/>
      <c r="H862" s="54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x14ac:dyDescent="0.2">
      <c r="A863" s="49"/>
      <c r="B863" s="49"/>
      <c r="C863" s="49"/>
      <c r="D863" s="49"/>
      <c r="E863" s="49"/>
      <c r="F863" s="54"/>
      <c r="G863" s="54"/>
      <c r="H863" s="54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x14ac:dyDescent="0.2">
      <c r="A864" s="49"/>
      <c r="B864" s="49"/>
      <c r="C864" s="49"/>
      <c r="D864" s="49"/>
      <c r="E864" s="49"/>
      <c r="F864" s="54"/>
      <c r="G864" s="54"/>
      <c r="H864" s="54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x14ac:dyDescent="0.2">
      <c r="A865" s="49"/>
      <c r="B865" s="49"/>
      <c r="C865" s="49"/>
      <c r="D865" s="49"/>
      <c r="E865" s="49"/>
      <c r="F865" s="54"/>
      <c r="G865" s="54"/>
      <c r="H865" s="54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x14ac:dyDescent="0.2">
      <c r="A866" s="49"/>
      <c r="B866" s="49"/>
      <c r="C866" s="49"/>
      <c r="D866" s="49"/>
      <c r="E866" s="49"/>
      <c r="F866" s="54"/>
      <c r="G866" s="54"/>
      <c r="H866" s="54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x14ac:dyDescent="0.2">
      <c r="A867" s="49"/>
      <c r="B867" s="49"/>
      <c r="C867" s="49"/>
      <c r="D867" s="49"/>
      <c r="E867" s="49"/>
      <c r="F867" s="54"/>
      <c r="G867" s="54"/>
      <c r="H867" s="54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x14ac:dyDescent="0.2">
      <c r="A868" s="49"/>
      <c r="B868" s="49"/>
      <c r="C868" s="49"/>
      <c r="D868" s="49"/>
      <c r="E868" s="49"/>
      <c r="F868" s="54"/>
      <c r="G868" s="54"/>
      <c r="H868" s="54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x14ac:dyDescent="0.2">
      <c r="A869" s="49"/>
      <c r="B869" s="49"/>
      <c r="C869" s="49"/>
      <c r="D869" s="49"/>
      <c r="E869" s="49"/>
      <c r="F869" s="54"/>
      <c r="G869" s="54"/>
      <c r="H869" s="54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x14ac:dyDescent="0.2">
      <c r="A870" s="49"/>
      <c r="B870" s="49"/>
      <c r="C870" s="49"/>
      <c r="D870" s="49"/>
      <c r="E870" s="49"/>
      <c r="F870" s="54"/>
      <c r="G870" s="54"/>
      <c r="H870" s="54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x14ac:dyDescent="0.2">
      <c r="A871" s="49"/>
      <c r="B871" s="49"/>
      <c r="C871" s="49"/>
      <c r="D871" s="49"/>
      <c r="E871" s="49"/>
      <c r="F871" s="54"/>
      <c r="G871" s="54"/>
      <c r="H871" s="54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x14ac:dyDescent="0.2">
      <c r="A872" s="49"/>
      <c r="B872" s="49"/>
      <c r="C872" s="49"/>
      <c r="D872" s="49"/>
      <c r="E872" s="49"/>
      <c r="F872" s="54"/>
      <c r="G872" s="54"/>
      <c r="H872" s="54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x14ac:dyDescent="0.2">
      <c r="A873" s="49"/>
      <c r="B873" s="49"/>
      <c r="C873" s="49"/>
      <c r="D873" s="49"/>
      <c r="E873" s="49"/>
      <c r="F873" s="54"/>
      <c r="G873" s="54"/>
      <c r="H873" s="54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x14ac:dyDescent="0.2">
      <c r="A874" s="49"/>
      <c r="B874" s="49"/>
      <c r="C874" s="49"/>
      <c r="D874" s="49"/>
      <c r="E874" s="49"/>
      <c r="F874" s="54"/>
      <c r="G874" s="54"/>
      <c r="H874" s="54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x14ac:dyDescent="0.2">
      <c r="A875" s="49"/>
      <c r="B875" s="49"/>
      <c r="C875" s="49"/>
      <c r="D875" s="49"/>
      <c r="E875" s="49"/>
      <c r="F875" s="54"/>
      <c r="G875" s="54"/>
      <c r="H875" s="54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x14ac:dyDescent="0.2">
      <c r="A876" s="49"/>
      <c r="B876" s="49"/>
      <c r="C876" s="49"/>
      <c r="D876" s="49"/>
      <c r="E876" s="49"/>
      <c r="F876" s="54"/>
      <c r="G876" s="54"/>
      <c r="H876" s="54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x14ac:dyDescent="0.2">
      <c r="A877" s="49"/>
      <c r="B877" s="49"/>
      <c r="C877" s="49"/>
      <c r="D877" s="49"/>
      <c r="E877" s="49"/>
      <c r="F877" s="54"/>
      <c r="G877" s="54"/>
      <c r="H877" s="54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x14ac:dyDescent="0.2">
      <c r="A878" s="49"/>
      <c r="B878" s="49"/>
      <c r="C878" s="49"/>
      <c r="D878" s="49"/>
      <c r="E878" s="49"/>
      <c r="F878" s="54"/>
      <c r="G878" s="54"/>
      <c r="H878" s="54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x14ac:dyDescent="0.2">
      <c r="A879" s="49"/>
      <c r="B879" s="49"/>
      <c r="C879" s="49"/>
      <c r="D879" s="49"/>
      <c r="E879" s="49"/>
      <c r="F879" s="54"/>
      <c r="G879" s="54"/>
      <c r="H879" s="54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x14ac:dyDescent="0.2">
      <c r="A880" s="49"/>
      <c r="B880" s="49"/>
      <c r="C880" s="49"/>
      <c r="D880" s="49"/>
      <c r="E880" s="49"/>
      <c r="F880" s="54"/>
      <c r="G880" s="54"/>
      <c r="H880" s="54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x14ac:dyDescent="0.2">
      <c r="A881" s="49"/>
      <c r="B881" s="49"/>
      <c r="C881" s="49"/>
      <c r="D881" s="49"/>
      <c r="E881" s="49"/>
      <c r="F881" s="54"/>
      <c r="G881" s="54"/>
      <c r="H881" s="54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x14ac:dyDescent="0.2">
      <c r="A882" s="49"/>
      <c r="B882" s="49"/>
      <c r="C882" s="49"/>
      <c r="D882" s="49"/>
      <c r="E882" s="49"/>
      <c r="F882" s="54"/>
      <c r="G882" s="54"/>
      <c r="H882" s="54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x14ac:dyDescent="0.2">
      <c r="A883" s="49"/>
      <c r="B883" s="49"/>
      <c r="C883" s="49"/>
      <c r="D883" s="49"/>
      <c r="E883" s="49"/>
      <c r="F883" s="54"/>
      <c r="G883" s="54"/>
      <c r="H883" s="54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x14ac:dyDescent="0.2">
      <c r="A884" s="49"/>
      <c r="B884" s="49"/>
      <c r="C884" s="49"/>
      <c r="D884" s="49"/>
      <c r="E884" s="49"/>
      <c r="F884" s="54"/>
      <c r="G884" s="54"/>
      <c r="H884" s="54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x14ac:dyDescent="0.2">
      <c r="A885" s="49"/>
      <c r="B885" s="49"/>
      <c r="C885" s="49"/>
      <c r="D885" s="49"/>
      <c r="E885" s="49"/>
      <c r="F885" s="54"/>
      <c r="G885" s="54"/>
      <c r="H885" s="54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x14ac:dyDescent="0.2">
      <c r="A886" s="49"/>
      <c r="B886" s="49"/>
      <c r="C886" s="49"/>
      <c r="D886" s="49"/>
      <c r="E886" s="49"/>
      <c r="F886" s="54"/>
      <c r="G886" s="54"/>
      <c r="H886" s="54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x14ac:dyDescent="0.2">
      <c r="A887" s="49"/>
      <c r="B887" s="49"/>
      <c r="C887" s="49"/>
      <c r="D887" s="49"/>
      <c r="E887" s="49"/>
      <c r="F887" s="54"/>
      <c r="G887" s="54"/>
      <c r="H887" s="54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x14ac:dyDescent="0.2">
      <c r="A888" s="49"/>
      <c r="B888" s="49"/>
      <c r="C888" s="49"/>
      <c r="D888" s="49"/>
      <c r="E888" s="49"/>
      <c r="F888" s="54"/>
      <c r="G888" s="54"/>
      <c r="H888" s="54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x14ac:dyDescent="0.2">
      <c r="A889" s="49"/>
      <c r="B889" s="49"/>
      <c r="C889" s="49"/>
      <c r="D889" s="49"/>
      <c r="E889" s="49"/>
      <c r="F889" s="54"/>
      <c r="G889" s="54"/>
      <c r="H889" s="54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x14ac:dyDescent="0.2">
      <c r="A890" s="49"/>
      <c r="B890" s="49"/>
      <c r="C890" s="49"/>
      <c r="D890" s="49"/>
      <c r="E890" s="49"/>
      <c r="F890" s="54"/>
      <c r="G890" s="54"/>
      <c r="H890" s="54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x14ac:dyDescent="0.2">
      <c r="A891" s="49"/>
      <c r="B891" s="49"/>
      <c r="C891" s="49"/>
      <c r="D891" s="49"/>
      <c r="E891" s="49"/>
      <c r="F891" s="54"/>
      <c r="G891" s="54"/>
      <c r="H891" s="54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x14ac:dyDescent="0.2">
      <c r="A892" s="49"/>
      <c r="B892" s="49"/>
      <c r="C892" s="49"/>
      <c r="D892" s="49"/>
      <c r="E892" s="49"/>
      <c r="F892" s="54"/>
      <c r="G892" s="54"/>
      <c r="H892" s="54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x14ac:dyDescent="0.2">
      <c r="A893" s="49"/>
      <c r="B893" s="49"/>
      <c r="C893" s="49"/>
      <c r="D893" s="49"/>
      <c r="E893" s="49"/>
      <c r="F893" s="54"/>
      <c r="G893" s="54"/>
      <c r="H893" s="54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x14ac:dyDescent="0.2">
      <c r="A894" s="49"/>
      <c r="B894" s="49"/>
      <c r="C894" s="49"/>
      <c r="D894" s="49"/>
      <c r="E894" s="49"/>
      <c r="F894" s="54"/>
      <c r="G894" s="54"/>
      <c r="H894" s="54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x14ac:dyDescent="0.2">
      <c r="A895" s="49"/>
      <c r="B895" s="49"/>
      <c r="C895" s="49"/>
      <c r="D895" s="49"/>
      <c r="E895" s="49"/>
      <c r="F895" s="54"/>
      <c r="G895" s="54"/>
      <c r="H895" s="54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x14ac:dyDescent="0.2">
      <c r="A896" s="49"/>
      <c r="B896" s="49"/>
      <c r="C896" s="49"/>
      <c r="D896" s="49"/>
      <c r="E896" s="49"/>
      <c r="F896" s="54"/>
      <c r="G896" s="54"/>
      <c r="H896" s="54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x14ac:dyDescent="0.2">
      <c r="A897" s="49"/>
      <c r="B897" s="49"/>
      <c r="C897" s="49"/>
      <c r="D897" s="49"/>
      <c r="E897" s="49"/>
      <c r="F897" s="54"/>
      <c r="G897" s="54"/>
      <c r="H897" s="54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x14ac:dyDescent="0.2">
      <c r="A898" s="49"/>
      <c r="B898" s="49"/>
      <c r="C898" s="49"/>
      <c r="D898" s="49"/>
      <c r="E898" s="49"/>
      <c r="F898" s="54"/>
      <c r="G898" s="54"/>
      <c r="H898" s="54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x14ac:dyDescent="0.2">
      <c r="A899" s="49"/>
      <c r="B899" s="49"/>
      <c r="C899" s="49"/>
      <c r="D899" s="49"/>
      <c r="E899" s="49"/>
      <c r="F899" s="54"/>
      <c r="G899" s="54"/>
      <c r="H899" s="54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x14ac:dyDescent="0.2">
      <c r="A900" s="49"/>
      <c r="B900" s="49"/>
      <c r="C900" s="49"/>
      <c r="D900" s="49"/>
      <c r="E900" s="49"/>
      <c r="F900" s="54"/>
      <c r="G900" s="54"/>
      <c r="H900" s="54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x14ac:dyDescent="0.2">
      <c r="A901" s="49"/>
      <c r="B901" s="49"/>
      <c r="C901" s="49"/>
      <c r="D901" s="49"/>
      <c r="E901" s="49"/>
      <c r="F901" s="54"/>
      <c r="G901" s="54"/>
      <c r="H901" s="54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x14ac:dyDescent="0.2">
      <c r="A902" s="49"/>
      <c r="B902" s="49"/>
      <c r="C902" s="49"/>
      <c r="D902" s="49"/>
      <c r="E902" s="49"/>
      <c r="F902" s="54"/>
      <c r="G902" s="54"/>
      <c r="H902" s="54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x14ac:dyDescent="0.2">
      <c r="A903" s="49"/>
      <c r="B903" s="49"/>
      <c r="C903" s="49"/>
      <c r="D903" s="49"/>
      <c r="E903" s="49"/>
      <c r="F903" s="54"/>
      <c r="G903" s="54"/>
      <c r="H903" s="54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x14ac:dyDescent="0.2">
      <c r="A904" s="49"/>
      <c r="B904" s="49"/>
      <c r="C904" s="49"/>
      <c r="D904" s="49"/>
      <c r="E904" s="49"/>
      <c r="F904" s="54"/>
      <c r="G904" s="54"/>
      <c r="H904" s="54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x14ac:dyDescent="0.2">
      <c r="A905" s="49"/>
      <c r="B905" s="49"/>
      <c r="C905" s="49"/>
      <c r="D905" s="49"/>
      <c r="E905" s="49"/>
      <c r="F905" s="54"/>
      <c r="G905" s="54"/>
      <c r="H905" s="54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x14ac:dyDescent="0.2">
      <c r="A906" s="49"/>
      <c r="B906" s="49"/>
      <c r="C906" s="49"/>
      <c r="D906" s="49"/>
      <c r="E906" s="49"/>
      <c r="F906" s="54"/>
      <c r="G906" s="54"/>
      <c r="H906" s="54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x14ac:dyDescent="0.2">
      <c r="A907" s="49"/>
      <c r="B907" s="49"/>
      <c r="C907" s="49"/>
      <c r="D907" s="49"/>
      <c r="E907" s="49"/>
      <c r="F907" s="54"/>
      <c r="G907" s="54"/>
      <c r="H907" s="54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x14ac:dyDescent="0.2">
      <c r="A908" s="49"/>
      <c r="B908" s="49"/>
      <c r="C908" s="49"/>
      <c r="D908" s="49"/>
      <c r="E908" s="49"/>
      <c r="F908" s="54"/>
      <c r="G908" s="54"/>
      <c r="H908" s="54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x14ac:dyDescent="0.2">
      <c r="A909" s="49"/>
      <c r="B909" s="49"/>
      <c r="C909" s="49"/>
      <c r="D909" s="49"/>
      <c r="E909" s="49"/>
      <c r="F909" s="54"/>
      <c r="G909" s="54"/>
      <c r="H909" s="54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x14ac:dyDescent="0.2">
      <c r="A910" s="49"/>
      <c r="B910" s="49"/>
      <c r="C910" s="49"/>
      <c r="D910" s="49"/>
      <c r="E910" s="49"/>
      <c r="F910" s="54"/>
      <c r="G910" s="54"/>
      <c r="H910" s="54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x14ac:dyDescent="0.2">
      <c r="A911" s="49"/>
      <c r="B911" s="49"/>
      <c r="C911" s="49"/>
      <c r="D911" s="49"/>
      <c r="E911" s="49"/>
      <c r="F911" s="54"/>
      <c r="G911" s="54"/>
      <c r="H911" s="54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x14ac:dyDescent="0.2">
      <c r="A912" s="49"/>
      <c r="B912" s="49"/>
      <c r="C912" s="49"/>
      <c r="D912" s="49"/>
      <c r="E912" s="49"/>
      <c r="F912" s="54"/>
      <c r="G912" s="54"/>
      <c r="H912" s="54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x14ac:dyDescent="0.2">
      <c r="A913" s="49"/>
      <c r="B913" s="49"/>
      <c r="C913" s="49"/>
      <c r="D913" s="49"/>
      <c r="E913" s="49"/>
      <c r="F913" s="54"/>
      <c r="G913" s="54"/>
      <c r="H913" s="54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x14ac:dyDescent="0.2">
      <c r="A914" s="49"/>
      <c r="B914" s="49"/>
      <c r="C914" s="49"/>
      <c r="D914" s="49"/>
      <c r="E914" s="49"/>
      <c r="F914" s="54"/>
      <c r="G914" s="54"/>
      <c r="H914" s="54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x14ac:dyDescent="0.2">
      <c r="A915" s="49"/>
      <c r="B915" s="49"/>
      <c r="C915" s="49"/>
      <c r="D915" s="49"/>
      <c r="E915" s="49"/>
      <c r="F915" s="54"/>
      <c r="G915" s="54"/>
      <c r="H915" s="54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x14ac:dyDescent="0.2">
      <c r="A916" s="49"/>
      <c r="B916" s="49"/>
      <c r="C916" s="49"/>
      <c r="D916" s="49"/>
      <c r="E916" s="49"/>
      <c r="F916" s="54"/>
      <c r="G916" s="54"/>
      <c r="H916" s="54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x14ac:dyDescent="0.2">
      <c r="A917" s="49"/>
      <c r="B917" s="49"/>
      <c r="C917" s="49"/>
      <c r="D917" s="49"/>
      <c r="E917" s="49"/>
      <c r="F917" s="54"/>
      <c r="G917" s="54"/>
      <c r="H917" s="54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x14ac:dyDescent="0.2">
      <c r="A918" s="49"/>
      <c r="B918" s="49"/>
      <c r="C918" s="49"/>
      <c r="D918" s="49"/>
      <c r="E918" s="49"/>
      <c r="F918" s="54"/>
      <c r="G918" s="54"/>
      <c r="H918" s="54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x14ac:dyDescent="0.2">
      <c r="A919" s="49"/>
      <c r="B919" s="49"/>
      <c r="C919" s="49"/>
      <c r="D919" s="49"/>
      <c r="E919" s="49"/>
      <c r="F919" s="54"/>
      <c r="G919" s="54"/>
      <c r="H919" s="54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x14ac:dyDescent="0.2">
      <c r="A920" s="49"/>
      <c r="B920" s="49"/>
      <c r="C920" s="49"/>
      <c r="D920" s="49"/>
      <c r="E920" s="49"/>
      <c r="F920" s="54"/>
      <c r="G920" s="54"/>
      <c r="H920" s="54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x14ac:dyDescent="0.2">
      <c r="A921" s="49"/>
      <c r="B921" s="49"/>
      <c r="C921" s="49"/>
      <c r="D921" s="49"/>
      <c r="E921" s="49"/>
      <c r="F921" s="54"/>
      <c r="G921" s="54"/>
      <c r="H921" s="54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x14ac:dyDescent="0.2">
      <c r="A922" s="49"/>
      <c r="B922" s="49"/>
      <c r="C922" s="49"/>
      <c r="D922" s="49"/>
      <c r="E922" s="49"/>
      <c r="F922" s="54"/>
      <c r="G922" s="54"/>
      <c r="H922" s="54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x14ac:dyDescent="0.2">
      <c r="A923" s="49"/>
      <c r="B923" s="49"/>
      <c r="C923" s="49"/>
      <c r="D923" s="49"/>
      <c r="E923" s="49"/>
      <c r="F923" s="54"/>
      <c r="G923" s="54"/>
      <c r="H923" s="54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x14ac:dyDescent="0.2">
      <c r="A924" s="49"/>
      <c r="B924" s="49"/>
      <c r="C924" s="49"/>
      <c r="D924" s="49"/>
      <c r="E924" s="49"/>
      <c r="F924" s="54"/>
      <c r="G924" s="54"/>
      <c r="H924" s="54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x14ac:dyDescent="0.2">
      <c r="A925" s="49"/>
      <c r="B925" s="49"/>
      <c r="C925" s="49"/>
      <c r="D925" s="49"/>
      <c r="E925" s="49"/>
      <c r="F925" s="54"/>
      <c r="G925" s="54"/>
      <c r="H925" s="54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x14ac:dyDescent="0.2">
      <c r="A926" s="49"/>
      <c r="B926" s="49"/>
      <c r="C926" s="49"/>
      <c r="D926" s="49"/>
      <c r="E926" s="49"/>
      <c r="F926" s="54"/>
      <c r="G926" s="54"/>
      <c r="H926" s="54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x14ac:dyDescent="0.2">
      <c r="A927" s="49"/>
      <c r="B927" s="49"/>
      <c r="C927" s="49"/>
      <c r="D927" s="49"/>
      <c r="E927" s="49"/>
      <c r="F927" s="54"/>
      <c r="G927" s="54"/>
      <c r="H927" s="54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x14ac:dyDescent="0.2">
      <c r="A928" s="49"/>
      <c r="B928" s="49"/>
      <c r="C928" s="49"/>
      <c r="D928" s="49"/>
      <c r="E928" s="49"/>
      <c r="F928" s="54"/>
      <c r="G928" s="54"/>
      <c r="H928" s="54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x14ac:dyDescent="0.2">
      <c r="A929" s="49"/>
      <c r="B929" s="49"/>
      <c r="C929" s="49"/>
      <c r="D929" s="49"/>
      <c r="E929" s="49"/>
      <c r="F929" s="54"/>
      <c r="G929" s="54"/>
      <c r="H929" s="54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x14ac:dyDescent="0.2">
      <c r="A930" s="49"/>
      <c r="B930" s="49"/>
      <c r="C930" s="49"/>
      <c r="D930" s="49"/>
      <c r="E930" s="49"/>
      <c r="F930" s="54"/>
      <c r="G930" s="54"/>
      <c r="H930" s="54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x14ac:dyDescent="0.2">
      <c r="A931" s="49"/>
      <c r="B931" s="49"/>
      <c r="C931" s="49"/>
      <c r="D931" s="49"/>
      <c r="E931" s="49"/>
      <c r="F931" s="54"/>
      <c r="G931" s="54"/>
      <c r="H931" s="54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x14ac:dyDescent="0.2">
      <c r="A932" s="49"/>
      <c r="B932" s="49"/>
      <c r="C932" s="49"/>
      <c r="D932" s="49"/>
      <c r="E932" s="49"/>
      <c r="F932" s="54"/>
      <c r="G932" s="54"/>
      <c r="H932" s="54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x14ac:dyDescent="0.2">
      <c r="A933" s="49"/>
      <c r="B933" s="49"/>
      <c r="C933" s="49"/>
      <c r="D933" s="49"/>
      <c r="E933" s="49"/>
      <c r="F933" s="54"/>
      <c r="G933" s="54"/>
      <c r="H933" s="54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x14ac:dyDescent="0.2">
      <c r="A934" s="49"/>
      <c r="B934" s="49"/>
      <c r="C934" s="49"/>
      <c r="D934" s="49"/>
      <c r="E934" s="49"/>
      <c r="F934" s="54"/>
      <c r="G934" s="54"/>
      <c r="H934" s="54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x14ac:dyDescent="0.2">
      <c r="A935" s="49"/>
      <c r="B935" s="49"/>
      <c r="C935" s="49"/>
      <c r="D935" s="49"/>
      <c r="E935" s="49"/>
      <c r="F935" s="54"/>
      <c r="G935" s="54"/>
      <c r="H935" s="54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x14ac:dyDescent="0.2">
      <c r="A936" s="49"/>
      <c r="B936" s="49"/>
      <c r="C936" s="49"/>
      <c r="D936" s="49"/>
      <c r="E936" s="49"/>
      <c r="F936" s="54"/>
      <c r="G936" s="54"/>
      <c r="H936" s="54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x14ac:dyDescent="0.2">
      <c r="A937" s="49"/>
      <c r="B937" s="49"/>
      <c r="C937" s="49"/>
      <c r="D937" s="49"/>
      <c r="E937" s="49"/>
      <c r="F937" s="54"/>
      <c r="G937" s="54"/>
      <c r="H937" s="54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x14ac:dyDescent="0.2">
      <c r="A938" s="49"/>
      <c r="B938" s="49"/>
      <c r="C938" s="49"/>
      <c r="D938" s="49"/>
      <c r="E938" s="49"/>
      <c r="F938" s="54"/>
      <c r="G938" s="54"/>
      <c r="H938" s="54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x14ac:dyDescent="0.2">
      <c r="A939" s="49"/>
      <c r="B939" s="49"/>
      <c r="C939" s="49"/>
      <c r="D939" s="49"/>
      <c r="E939" s="49"/>
      <c r="F939" s="54"/>
      <c r="G939" s="54"/>
      <c r="H939" s="54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x14ac:dyDescent="0.2">
      <c r="A940" s="49"/>
      <c r="B940" s="49"/>
      <c r="C940" s="49"/>
      <c r="D940" s="49"/>
      <c r="E940" s="49"/>
      <c r="F940" s="54"/>
      <c r="G940" s="54"/>
      <c r="H940" s="54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x14ac:dyDescent="0.2">
      <c r="A941" s="49"/>
      <c r="B941" s="49"/>
      <c r="C941" s="49"/>
      <c r="D941" s="49"/>
      <c r="E941" s="49"/>
      <c r="F941" s="54"/>
      <c r="G941" s="54"/>
      <c r="H941" s="54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x14ac:dyDescent="0.2">
      <c r="A942" s="49"/>
      <c r="B942" s="49"/>
      <c r="C942" s="49"/>
      <c r="D942" s="49"/>
      <c r="E942" s="49"/>
      <c r="F942" s="54"/>
      <c r="G942" s="54"/>
      <c r="H942" s="54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x14ac:dyDescent="0.2">
      <c r="A943" s="49"/>
      <c r="B943" s="49"/>
      <c r="C943" s="49"/>
      <c r="D943" s="49"/>
      <c r="E943" s="49"/>
      <c r="F943" s="54"/>
      <c r="G943" s="54"/>
      <c r="H943" s="54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x14ac:dyDescent="0.2">
      <c r="A944" s="49"/>
      <c r="B944" s="49"/>
      <c r="C944" s="49"/>
      <c r="D944" s="49"/>
      <c r="E944" s="49"/>
      <c r="F944" s="54"/>
      <c r="G944" s="54"/>
      <c r="H944" s="54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x14ac:dyDescent="0.2">
      <c r="A945" s="49"/>
      <c r="B945" s="49"/>
      <c r="C945" s="49"/>
      <c r="D945" s="49"/>
      <c r="E945" s="49"/>
      <c r="F945" s="54"/>
      <c r="G945" s="54"/>
      <c r="H945" s="54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x14ac:dyDescent="0.2">
      <c r="A946" s="49"/>
      <c r="B946" s="49"/>
      <c r="C946" s="49"/>
      <c r="D946" s="49"/>
      <c r="E946" s="49"/>
      <c r="F946" s="54"/>
      <c r="G946" s="54"/>
      <c r="H946" s="54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x14ac:dyDescent="0.2">
      <c r="A947" s="49"/>
      <c r="B947" s="49"/>
      <c r="C947" s="49"/>
      <c r="D947" s="49"/>
      <c r="E947" s="49"/>
      <c r="F947" s="54"/>
      <c r="G947" s="54"/>
      <c r="H947" s="54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x14ac:dyDescent="0.2">
      <c r="A948" s="49"/>
      <c r="B948" s="49"/>
      <c r="C948" s="49"/>
      <c r="D948" s="49"/>
      <c r="E948" s="49"/>
      <c r="F948" s="54"/>
      <c r="G948" s="54"/>
      <c r="H948" s="54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x14ac:dyDescent="0.2">
      <c r="A949" s="49"/>
      <c r="B949" s="49"/>
      <c r="C949" s="49"/>
      <c r="D949" s="49"/>
      <c r="E949" s="49"/>
      <c r="F949" s="54"/>
      <c r="G949" s="54"/>
      <c r="H949" s="54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x14ac:dyDescent="0.2">
      <c r="A950" s="49"/>
      <c r="B950" s="49"/>
      <c r="C950" s="49"/>
      <c r="D950" s="49"/>
      <c r="E950" s="49"/>
      <c r="F950" s="54"/>
      <c r="G950" s="54"/>
      <c r="H950" s="54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x14ac:dyDescent="0.2">
      <c r="A951" s="49"/>
      <c r="B951" s="49"/>
      <c r="C951" s="49"/>
      <c r="D951" s="49"/>
      <c r="E951" s="49"/>
      <c r="F951" s="54"/>
      <c r="G951" s="54"/>
      <c r="H951" s="54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x14ac:dyDescent="0.2">
      <c r="A952" s="49"/>
      <c r="B952" s="49"/>
      <c r="C952" s="49"/>
      <c r="D952" s="49"/>
      <c r="E952" s="49"/>
      <c r="F952" s="54"/>
      <c r="G952" s="54"/>
      <c r="H952" s="54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x14ac:dyDescent="0.2">
      <c r="A953" s="49"/>
      <c r="B953" s="49"/>
      <c r="C953" s="49"/>
      <c r="D953" s="49"/>
      <c r="E953" s="49"/>
      <c r="F953" s="54"/>
      <c r="G953" s="54"/>
      <c r="H953" s="54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x14ac:dyDescent="0.2">
      <c r="A954" s="49"/>
      <c r="B954" s="49"/>
      <c r="C954" s="49"/>
      <c r="D954" s="49"/>
      <c r="E954" s="49"/>
      <c r="F954" s="54"/>
      <c r="G954" s="54"/>
      <c r="H954" s="54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x14ac:dyDescent="0.2">
      <c r="A955" s="49"/>
      <c r="B955" s="49"/>
      <c r="C955" s="49"/>
      <c r="D955" s="49"/>
      <c r="E955" s="49"/>
      <c r="F955" s="54"/>
      <c r="G955" s="54"/>
      <c r="H955" s="54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x14ac:dyDescent="0.2">
      <c r="A956" s="49"/>
      <c r="B956" s="49"/>
      <c r="C956" s="49"/>
      <c r="D956" s="49"/>
      <c r="E956" s="49"/>
      <c r="F956" s="54"/>
      <c r="G956" s="54"/>
      <c r="H956" s="54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x14ac:dyDescent="0.2">
      <c r="A957" s="49"/>
      <c r="B957" s="49"/>
      <c r="C957" s="49"/>
      <c r="D957" s="49"/>
      <c r="E957" s="49"/>
      <c r="F957" s="54"/>
      <c r="G957" s="54"/>
      <c r="H957" s="54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x14ac:dyDescent="0.2">
      <c r="A958" s="49"/>
      <c r="B958" s="49"/>
      <c r="C958" s="49"/>
      <c r="D958" s="49"/>
      <c r="E958" s="49"/>
      <c r="F958" s="54"/>
      <c r="G958" s="54"/>
      <c r="H958" s="54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x14ac:dyDescent="0.2">
      <c r="A959" s="49"/>
      <c r="B959" s="49"/>
      <c r="C959" s="49"/>
      <c r="D959" s="49"/>
      <c r="E959" s="49"/>
      <c r="F959" s="54"/>
      <c r="G959" s="54"/>
      <c r="H959" s="54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x14ac:dyDescent="0.2">
      <c r="A960" s="49"/>
      <c r="B960" s="49"/>
      <c r="C960" s="49"/>
      <c r="D960" s="49"/>
      <c r="E960" s="49"/>
      <c r="F960" s="54"/>
      <c r="G960" s="54"/>
      <c r="H960" s="54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x14ac:dyDescent="0.2">
      <c r="A961" s="49"/>
      <c r="B961" s="49"/>
      <c r="C961" s="49"/>
      <c r="D961" s="49"/>
      <c r="E961" s="49"/>
      <c r="F961" s="54"/>
      <c r="G961" s="54"/>
      <c r="H961" s="54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x14ac:dyDescent="0.2">
      <c r="A962" s="49"/>
      <c r="B962" s="49"/>
      <c r="C962" s="49"/>
      <c r="D962" s="49"/>
      <c r="E962" s="49"/>
      <c r="F962" s="54"/>
      <c r="G962" s="54"/>
      <c r="H962" s="54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x14ac:dyDescent="0.2">
      <c r="A963" s="49"/>
      <c r="B963" s="49"/>
      <c r="C963" s="49"/>
      <c r="D963" s="49"/>
      <c r="E963" s="49"/>
      <c r="F963" s="54"/>
      <c r="G963" s="54"/>
      <c r="H963" s="54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x14ac:dyDescent="0.2">
      <c r="A964" s="49"/>
      <c r="B964" s="49"/>
      <c r="C964" s="49"/>
      <c r="D964" s="49"/>
      <c r="E964" s="49"/>
      <c r="F964" s="54"/>
      <c r="G964" s="54"/>
      <c r="H964" s="54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x14ac:dyDescent="0.2">
      <c r="A965" s="49"/>
      <c r="B965" s="49"/>
      <c r="C965" s="49"/>
      <c r="D965" s="49"/>
      <c r="E965" s="49"/>
      <c r="F965" s="54"/>
      <c r="G965" s="54"/>
      <c r="H965" s="54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x14ac:dyDescent="0.2">
      <c r="A966" s="49"/>
      <c r="B966" s="49"/>
      <c r="C966" s="49"/>
      <c r="D966" s="49"/>
      <c r="E966" s="49"/>
      <c r="F966" s="54"/>
      <c r="G966" s="54"/>
      <c r="H966" s="54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x14ac:dyDescent="0.2">
      <c r="A967" s="49"/>
      <c r="B967" s="49"/>
      <c r="C967" s="49"/>
      <c r="D967" s="49"/>
      <c r="E967" s="49"/>
      <c r="F967" s="54"/>
      <c r="G967" s="54"/>
      <c r="H967" s="54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x14ac:dyDescent="0.2">
      <c r="A968" s="49"/>
      <c r="B968" s="49"/>
      <c r="C968" s="49"/>
      <c r="D968" s="49"/>
      <c r="E968" s="49"/>
      <c r="F968" s="54"/>
      <c r="G968" s="54"/>
      <c r="H968" s="54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x14ac:dyDescent="0.2">
      <c r="A969" s="49"/>
      <c r="B969" s="49"/>
      <c r="C969" s="49"/>
      <c r="D969" s="49"/>
      <c r="E969" s="49"/>
      <c r="F969" s="54"/>
      <c r="G969" s="54"/>
      <c r="H969" s="54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x14ac:dyDescent="0.2">
      <c r="A970" s="49"/>
      <c r="B970" s="49"/>
      <c r="C970" s="49"/>
      <c r="D970" s="49"/>
      <c r="E970" s="49"/>
      <c r="F970" s="54"/>
      <c r="G970" s="54"/>
      <c r="H970" s="54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x14ac:dyDescent="0.2">
      <c r="A971" s="49"/>
      <c r="B971" s="49"/>
      <c r="C971" s="49"/>
      <c r="D971" s="49"/>
      <c r="E971" s="49"/>
      <c r="F971" s="54"/>
      <c r="G971" s="54"/>
      <c r="H971" s="54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x14ac:dyDescent="0.2">
      <c r="A972" s="49"/>
      <c r="B972" s="49"/>
      <c r="C972" s="49"/>
      <c r="D972" s="49"/>
      <c r="E972" s="49"/>
      <c r="F972" s="54"/>
      <c r="G972" s="54"/>
      <c r="H972" s="54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x14ac:dyDescent="0.2">
      <c r="A973" s="49"/>
      <c r="B973" s="49"/>
      <c r="C973" s="49"/>
      <c r="D973" s="49"/>
      <c r="E973" s="49"/>
      <c r="F973" s="54"/>
      <c r="G973" s="54"/>
      <c r="H973" s="54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x14ac:dyDescent="0.2">
      <c r="A974" s="49"/>
      <c r="B974" s="49"/>
      <c r="C974" s="49"/>
      <c r="D974" s="49"/>
      <c r="E974" s="49"/>
      <c r="F974" s="54"/>
      <c r="G974" s="54"/>
      <c r="H974" s="54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x14ac:dyDescent="0.2">
      <c r="A975" s="49"/>
      <c r="B975" s="49"/>
      <c r="C975" s="49"/>
      <c r="D975" s="49"/>
      <c r="E975" s="49"/>
      <c r="F975" s="54"/>
      <c r="G975" s="54"/>
      <c r="H975" s="54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x14ac:dyDescent="0.2">
      <c r="A976" s="49"/>
      <c r="B976" s="49"/>
      <c r="C976" s="49"/>
      <c r="D976" s="49"/>
      <c r="E976" s="49"/>
      <c r="F976" s="54"/>
      <c r="G976" s="54"/>
      <c r="H976" s="54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x14ac:dyDescent="0.2">
      <c r="A977" s="49"/>
      <c r="B977" s="49"/>
      <c r="C977" s="49"/>
      <c r="D977" s="49"/>
      <c r="E977" s="49"/>
      <c r="F977" s="54"/>
      <c r="G977" s="54"/>
      <c r="H977" s="54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x14ac:dyDescent="0.2">
      <c r="A978" s="49"/>
      <c r="B978" s="49"/>
      <c r="C978" s="49"/>
      <c r="D978" s="49"/>
      <c r="E978" s="49"/>
      <c r="F978" s="54"/>
      <c r="G978" s="54"/>
      <c r="H978" s="54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x14ac:dyDescent="0.2">
      <c r="A979" s="49"/>
      <c r="B979" s="49"/>
      <c r="C979" s="49"/>
      <c r="D979" s="49"/>
      <c r="E979" s="49"/>
      <c r="F979" s="54"/>
      <c r="G979" s="54"/>
      <c r="H979" s="54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x14ac:dyDescent="0.2">
      <c r="A980" s="49"/>
      <c r="B980" s="49"/>
      <c r="C980" s="49"/>
      <c r="D980" s="49"/>
      <c r="E980" s="49"/>
      <c r="F980" s="54"/>
      <c r="G980" s="54"/>
      <c r="H980" s="54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x14ac:dyDescent="0.2">
      <c r="A981" s="49"/>
      <c r="B981" s="49"/>
      <c r="C981" s="49"/>
      <c r="D981" s="49"/>
      <c r="E981" s="49"/>
      <c r="F981" s="54"/>
      <c r="G981" s="54"/>
      <c r="H981" s="54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x14ac:dyDescent="0.2">
      <c r="A982" s="49"/>
      <c r="B982" s="49"/>
      <c r="C982" s="49"/>
      <c r="D982" s="49"/>
      <c r="E982" s="49"/>
      <c r="F982" s="54"/>
      <c r="G982" s="54"/>
      <c r="H982" s="54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x14ac:dyDescent="0.2">
      <c r="A983" s="49"/>
      <c r="B983" s="49"/>
      <c r="C983" s="49"/>
      <c r="D983" s="49"/>
      <c r="E983" s="49"/>
      <c r="F983" s="54"/>
      <c r="G983" s="54"/>
      <c r="H983" s="54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x14ac:dyDescent="0.2">
      <c r="A984" s="49"/>
      <c r="B984" s="49"/>
      <c r="C984" s="49"/>
      <c r="D984" s="49"/>
      <c r="E984" s="49"/>
      <c r="F984" s="54"/>
      <c r="G984" s="54"/>
      <c r="H984" s="54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x14ac:dyDescent="0.2">
      <c r="A985" s="49"/>
      <c r="B985" s="49"/>
      <c r="C985" s="49"/>
      <c r="D985" s="49"/>
      <c r="E985" s="49"/>
      <c r="F985" s="54"/>
      <c r="G985" s="54"/>
      <c r="H985" s="54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x14ac:dyDescent="0.2">
      <c r="A986" s="49"/>
      <c r="B986" s="49"/>
      <c r="C986" s="49"/>
      <c r="D986" s="49"/>
      <c r="E986" s="49"/>
      <c r="F986" s="54"/>
      <c r="G986" s="54"/>
      <c r="H986" s="54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x14ac:dyDescent="0.2">
      <c r="A987" s="49"/>
      <c r="B987" s="49"/>
      <c r="C987" s="49"/>
      <c r="D987" s="49"/>
      <c r="E987" s="49"/>
      <c r="F987" s="54"/>
      <c r="G987" s="54"/>
      <c r="H987" s="54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x14ac:dyDescent="0.2">
      <c r="A988" s="49"/>
      <c r="B988" s="49"/>
      <c r="C988" s="49"/>
      <c r="D988" s="49"/>
      <c r="E988" s="49"/>
      <c r="F988" s="54"/>
      <c r="G988" s="54"/>
      <c r="H988" s="54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x14ac:dyDescent="0.2">
      <c r="A989" s="49"/>
      <c r="B989" s="49"/>
      <c r="C989" s="49"/>
      <c r="D989" s="49"/>
      <c r="E989" s="49"/>
      <c r="F989" s="54"/>
      <c r="G989" s="54"/>
      <c r="H989" s="54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x14ac:dyDescent="0.2">
      <c r="A990" s="49"/>
      <c r="B990" s="49"/>
      <c r="C990" s="49"/>
      <c r="D990" s="49"/>
      <c r="E990" s="49"/>
      <c r="F990" s="54"/>
      <c r="G990" s="54"/>
      <c r="H990" s="54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x14ac:dyDescent="0.2">
      <c r="A991" s="49"/>
      <c r="B991" s="49"/>
      <c r="C991" s="49"/>
      <c r="D991" s="49"/>
      <c r="E991" s="49"/>
      <c r="F991" s="54"/>
      <c r="G991" s="54"/>
      <c r="H991" s="54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x14ac:dyDescent="0.2">
      <c r="A992" s="49"/>
      <c r="B992" s="49"/>
      <c r="C992" s="49"/>
      <c r="D992" s="49"/>
      <c r="E992" s="49"/>
      <c r="F992" s="54"/>
      <c r="G992" s="54"/>
      <c r="H992" s="54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x14ac:dyDescent="0.2">
      <c r="A993" s="49"/>
      <c r="B993" s="49"/>
      <c r="C993" s="49"/>
      <c r="D993" s="49"/>
      <c r="E993" s="49"/>
      <c r="F993" s="54"/>
      <c r="G993" s="54"/>
      <c r="H993" s="54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x14ac:dyDescent="0.2">
      <c r="A994" s="49"/>
      <c r="B994" s="49"/>
      <c r="C994" s="49"/>
      <c r="D994" s="49"/>
      <c r="E994" s="49"/>
      <c r="F994" s="54"/>
      <c r="G994" s="54"/>
      <c r="H994" s="54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x14ac:dyDescent="0.2">
      <c r="A995" s="49"/>
      <c r="B995" s="49"/>
      <c r="C995" s="49"/>
      <c r="D995" s="49"/>
      <c r="E995" s="49"/>
      <c r="F995" s="54"/>
      <c r="G995" s="54"/>
      <c r="H995" s="54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x14ac:dyDescent="0.2">
      <c r="A996" s="49"/>
      <c r="B996" s="49"/>
      <c r="C996" s="49"/>
      <c r="D996" s="49"/>
      <c r="E996" s="49"/>
      <c r="F996" s="54"/>
      <c r="G996" s="54"/>
      <c r="H996" s="54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x14ac:dyDescent="0.2">
      <c r="A997" s="49"/>
      <c r="B997" s="49"/>
      <c r="C997" s="49"/>
      <c r="D997" s="49"/>
      <c r="E997" s="49"/>
      <c r="F997" s="54"/>
      <c r="G997" s="54"/>
      <c r="H997" s="54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x14ac:dyDescent="0.2">
      <c r="A998" s="49"/>
      <c r="B998" s="49"/>
      <c r="C998" s="49"/>
      <c r="D998" s="49"/>
      <c r="E998" s="49"/>
      <c r="F998" s="54"/>
      <c r="G998" s="54"/>
      <c r="H998" s="54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x14ac:dyDescent="0.2">
      <c r="A999" s="49"/>
      <c r="B999" s="49"/>
      <c r="C999" s="49"/>
      <c r="D999" s="49"/>
      <c r="E999" s="49"/>
      <c r="F999" s="54"/>
      <c r="G999" s="54"/>
      <c r="H999" s="54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x14ac:dyDescent="0.2">
      <c r="A1000" s="49"/>
      <c r="B1000" s="49"/>
      <c r="C1000" s="49"/>
      <c r="D1000" s="49"/>
      <c r="E1000" s="49"/>
      <c r="F1000" s="54"/>
      <c r="G1000" s="54"/>
      <c r="H1000" s="54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showGridLines="0" tabSelected="1" topLeftCell="D9" workbookViewId="0">
      <selection activeCell="M19" sqref="M19"/>
    </sheetView>
  </sheetViews>
  <sheetFormatPr defaultColWidth="12.625" defaultRowHeight="16.5" x14ac:dyDescent="0.25"/>
  <cols>
    <col min="1" max="1" width="9.75" style="4" customWidth="1"/>
    <col min="2" max="2" width="34.625" style="4" bestFit="1" customWidth="1"/>
    <col min="3" max="3" width="14.375" style="4" bestFit="1" customWidth="1"/>
    <col min="4" max="4" width="17.125" style="4" bestFit="1" customWidth="1"/>
    <col min="5" max="5" width="21.5" style="4" bestFit="1" customWidth="1"/>
    <col min="6" max="6" width="60.625" style="4" customWidth="1"/>
    <col min="7" max="7" width="15.5" style="4" bestFit="1" customWidth="1"/>
    <col min="8" max="8" width="11.375" style="4" bestFit="1" customWidth="1"/>
    <col min="9" max="9" width="16.625" style="4" bestFit="1" customWidth="1"/>
    <col min="10" max="10" width="25.625" style="4" bestFit="1" customWidth="1"/>
    <col min="11" max="11" width="32" style="4" bestFit="1" customWidth="1"/>
    <col min="12" max="26" width="8.875" style="4" customWidth="1"/>
    <col min="27" max="16384" width="12.625" style="4"/>
  </cols>
  <sheetData>
    <row r="1" spans="1:12" ht="20.25" x14ac:dyDescent="0.3">
      <c r="A1" s="364" t="s">
        <v>328</v>
      </c>
      <c r="B1" s="365"/>
      <c r="C1" s="365"/>
      <c r="D1" s="365"/>
      <c r="E1" s="365"/>
      <c r="F1" s="365"/>
      <c r="G1" s="365"/>
      <c r="H1" s="366"/>
      <c r="I1" s="366"/>
      <c r="J1" s="365"/>
      <c r="K1" s="367"/>
    </row>
    <row r="2" spans="1:12" ht="33" x14ac:dyDescent="0.25">
      <c r="A2" s="5" t="s">
        <v>329</v>
      </c>
      <c r="B2" s="322" t="s">
        <v>61</v>
      </c>
      <c r="C2"/>
      <c r="D2" t="s">
        <v>330</v>
      </c>
      <c r="E2" s="328">
        <v>46220</v>
      </c>
      <c r="F2" s="13"/>
      <c r="G2" t="s">
        <v>100</v>
      </c>
      <c r="H2" s="14">
        <f>COUNTIF(G8:G23,"Completed")</f>
        <v>16</v>
      </c>
      <c r="I2" s="14" t="s">
        <v>331</v>
      </c>
      <c r="J2" s="15"/>
      <c r="K2" s="16"/>
    </row>
    <row r="3" spans="1:12" ht="33" x14ac:dyDescent="0.25">
      <c r="A3" s="5" t="s">
        <v>332</v>
      </c>
      <c r="B3" t="s">
        <v>61</v>
      </c>
      <c r="C3"/>
      <c r="D3" t="s">
        <v>141</v>
      </c>
      <c r="E3" s="12" t="s">
        <v>82</v>
      </c>
      <c r="F3" s="174"/>
      <c r="G3" s="4" t="s">
        <v>333</v>
      </c>
      <c r="H3" s="4">
        <f>COUNTIF(G8:G23,"In Progress")</f>
        <v>0</v>
      </c>
      <c r="I3" s="175" t="s">
        <v>334</v>
      </c>
      <c r="J3" s="6"/>
      <c r="K3" s="17"/>
    </row>
    <row r="4" spans="1:12" x14ac:dyDescent="0.25">
      <c r="A4" s="5" t="s">
        <v>335</v>
      </c>
      <c r="B4" t="s">
        <v>7</v>
      </c>
      <c r="C4"/>
      <c r="D4" t="s">
        <v>86</v>
      </c>
      <c r="E4" s="12" t="s">
        <v>87</v>
      </c>
      <c r="F4" s="18"/>
      <c r="G4" s="18" t="s">
        <v>336</v>
      </c>
      <c r="H4" s="14">
        <f>COUNTIF(G8:G23,"Not Started")</f>
        <v>0</v>
      </c>
      <c r="I4" s="19" t="s">
        <v>337</v>
      </c>
      <c r="J4" s="20"/>
      <c r="K4" s="21">
        <f t="shared" ref="K4:K9" si="0">COUNTIF(G:G,J4)</f>
        <v>0</v>
      </c>
    </row>
    <row r="5" spans="1:12" ht="33" x14ac:dyDescent="0.25">
      <c r="A5" s="5" t="s">
        <v>338</v>
      </c>
      <c r="B5" t="s">
        <v>339</v>
      </c>
      <c r="C5"/>
      <c r="D5" t="s">
        <v>10</v>
      </c>
      <c r="E5" s="12" t="s">
        <v>11</v>
      </c>
      <c r="F5" s="12"/>
      <c r="G5" s="18" t="s">
        <v>340</v>
      </c>
      <c r="H5" s="22">
        <f>COUNT(I8:I23)</f>
        <v>5</v>
      </c>
      <c r="I5" s="19" t="s">
        <v>341</v>
      </c>
      <c r="J5" s="23"/>
      <c r="K5" s="21">
        <f t="shared" si="0"/>
        <v>0</v>
      </c>
    </row>
    <row r="6" spans="1:12" x14ac:dyDescent="0.25">
      <c r="A6" s="5"/>
      <c r="B6"/>
      <c r="C6"/>
      <c r="D6"/>
      <c r="E6" s="18"/>
      <c r="F6" s="12"/>
      <c r="G6" s="18"/>
      <c r="H6" s="22"/>
      <c r="I6" s="19"/>
      <c r="J6" s="24"/>
      <c r="K6" s="21">
        <f t="shared" si="0"/>
        <v>0</v>
      </c>
    </row>
    <row r="7" spans="1:12" ht="17.25" x14ac:dyDescent="0.25">
      <c r="A7" s="317" t="s">
        <v>342</v>
      </c>
      <c r="B7" s="196" t="s">
        <v>330</v>
      </c>
      <c r="C7" s="196" t="s">
        <v>343</v>
      </c>
      <c r="D7" s="196" t="s">
        <v>344</v>
      </c>
      <c r="E7" s="318" t="s">
        <v>345</v>
      </c>
      <c r="F7" s="318" t="s">
        <v>346</v>
      </c>
      <c r="G7" s="318" t="s">
        <v>8</v>
      </c>
      <c r="H7" s="319" t="s">
        <v>347</v>
      </c>
      <c r="I7" s="320" t="s">
        <v>340</v>
      </c>
      <c r="J7" s="194" t="s">
        <v>348</v>
      </c>
      <c r="K7" s="321">
        <f t="shared" si="0"/>
        <v>0</v>
      </c>
    </row>
    <row r="8" spans="1:12" ht="33" x14ac:dyDescent="0.25">
      <c r="A8" s="5">
        <v>1</v>
      </c>
      <c r="B8" s="233">
        <v>46211</v>
      </c>
      <c r="C8" s="197" t="s">
        <v>349</v>
      </c>
      <c r="D8" s="197" t="s">
        <v>350</v>
      </c>
      <c r="E8" s="18" t="s">
        <v>351</v>
      </c>
      <c r="F8" s="12" t="s">
        <v>352</v>
      </c>
      <c r="G8" s="25" t="s">
        <v>100</v>
      </c>
      <c r="H8" s="326">
        <v>46211</v>
      </c>
      <c r="I8" s="327"/>
      <c r="J8" s="26" t="s">
        <v>61</v>
      </c>
      <c r="K8" s="21">
        <f t="shared" si="0"/>
        <v>0</v>
      </c>
    </row>
    <row r="9" spans="1:12" ht="33" x14ac:dyDescent="0.25">
      <c r="A9" s="7">
        <v>2</v>
      </c>
      <c r="B9" s="323">
        <v>46211</v>
      </c>
      <c r="C9" s="8" t="s">
        <v>353</v>
      </c>
      <c r="D9" s="8" t="s">
        <v>354</v>
      </c>
      <c r="E9" s="27" t="s">
        <v>355</v>
      </c>
      <c r="F9" s="28" t="s">
        <v>356</v>
      </c>
      <c r="G9" s="25" t="s">
        <v>100</v>
      </c>
      <c r="H9" s="326">
        <v>46212</v>
      </c>
      <c r="I9" s="327">
        <v>46212</v>
      </c>
      <c r="J9" s="29" t="s">
        <v>61</v>
      </c>
      <c r="K9" s="21">
        <f t="shared" si="0"/>
        <v>0</v>
      </c>
    </row>
    <row r="10" spans="1:12" ht="33" x14ac:dyDescent="0.25">
      <c r="A10" s="30">
        <v>3</v>
      </c>
      <c r="B10" s="324">
        <v>46211</v>
      </c>
      <c r="C10" s="30" t="s">
        <v>357</v>
      </c>
      <c r="D10" s="30" t="s">
        <v>358</v>
      </c>
      <c r="E10" s="30" t="s">
        <v>359</v>
      </c>
      <c r="F10" s="30" t="s">
        <v>360</v>
      </c>
      <c r="G10" s="30" t="s">
        <v>100</v>
      </c>
      <c r="H10" s="324">
        <v>46213</v>
      </c>
      <c r="I10" s="324"/>
      <c r="J10" s="30" t="s">
        <v>103</v>
      </c>
      <c r="K10" s="30" t="s">
        <v>361</v>
      </c>
    </row>
    <row r="11" spans="1:12" ht="33" x14ac:dyDescent="0.25">
      <c r="A11" s="31">
        <v>4</v>
      </c>
      <c r="B11" s="38">
        <v>46212</v>
      </c>
      <c r="C11" s="31" t="s">
        <v>362</v>
      </c>
      <c r="D11" s="31" t="s">
        <v>363</v>
      </c>
      <c r="E11" s="32" t="s">
        <v>364</v>
      </c>
      <c r="F11" s="33" t="s">
        <v>365</v>
      </c>
      <c r="G11" s="34" t="s">
        <v>100</v>
      </c>
      <c r="H11" s="327">
        <v>46213</v>
      </c>
      <c r="I11" s="327"/>
      <c r="J11" s="21" t="s">
        <v>107</v>
      </c>
      <c r="K11" s="21" t="s">
        <v>366</v>
      </c>
    </row>
    <row r="12" spans="1:12" ht="33" x14ac:dyDescent="0.25">
      <c r="A12" s="35">
        <v>5</v>
      </c>
      <c r="B12" s="325">
        <v>46213</v>
      </c>
      <c r="C12" s="35" t="s">
        <v>367</v>
      </c>
      <c r="D12" s="35" t="s">
        <v>368</v>
      </c>
      <c r="E12" s="35" t="s">
        <v>369</v>
      </c>
      <c r="F12" s="35" t="s">
        <v>370</v>
      </c>
      <c r="G12" s="36" t="s">
        <v>100</v>
      </c>
      <c r="H12" s="325">
        <v>46213</v>
      </c>
      <c r="I12" s="325"/>
      <c r="J12" s="35" t="s">
        <v>119</v>
      </c>
      <c r="K12" s="35" t="s">
        <v>371</v>
      </c>
    </row>
    <row r="13" spans="1:12" ht="33" x14ac:dyDescent="0.25">
      <c r="A13" s="37">
        <v>6</v>
      </c>
      <c r="B13" s="38">
        <v>46213</v>
      </c>
      <c r="C13" s="31" t="s">
        <v>367</v>
      </c>
      <c r="D13" s="31" t="s">
        <v>372</v>
      </c>
      <c r="E13" s="31" t="s">
        <v>373</v>
      </c>
      <c r="F13" s="31" t="s">
        <v>374</v>
      </c>
      <c r="G13" s="39" t="s">
        <v>100</v>
      </c>
      <c r="H13" s="38">
        <v>46213</v>
      </c>
      <c r="I13" s="38"/>
      <c r="J13" s="31" t="s">
        <v>375</v>
      </c>
      <c r="K13" s="31" t="s">
        <v>376</v>
      </c>
    </row>
    <row r="14" spans="1:12" x14ac:dyDescent="0.25">
      <c r="A14" s="37">
        <v>7</v>
      </c>
      <c r="B14" s="38">
        <v>46216</v>
      </c>
      <c r="C14" s="31" t="s">
        <v>357</v>
      </c>
      <c r="D14" s="31" t="s">
        <v>377</v>
      </c>
      <c r="E14" s="31" t="s">
        <v>378</v>
      </c>
      <c r="F14" s="31" t="s">
        <v>379</v>
      </c>
      <c r="G14" s="40" t="s">
        <v>100</v>
      </c>
      <c r="H14" s="38">
        <v>46216</v>
      </c>
      <c r="I14" s="38">
        <v>46217</v>
      </c>
      <c r="J14" s="31" t="s">
        <v>61</v>
      </c>
      <c r="K14" s="31" t="s">
        <v>380</v>
      </c>
      <c r="L14" s="5"/>
    </row>
    <row r="15" spans="1:12" ht="33" x14ac:dyDescent="0.25">
      <c r="A15" s="37">
        <v>8</v>
      </c>
      <c r="B15" s="38">
        <v>46216</v>
      </c>
      <c r="C15" s="31" t="s">
        <v>367</v>
      </c>
      <c r="D15" s="31" t="s">
        <v>377</v>
      </c>
      <c r="E15" s="31" t="s">
        <v>381</v>
      </c>
      <c r="F15" s="31" t="s">
        <v>382</v>
      </c>
      <c r="G15" s="41" t="s">
        <v>100</v>
      </c>
      <c r="H15" s="38">
        <v>46216</v>
      </c>
      <c r="I15" s="38">
        <v>46217</v>
      </c>
      <c r="J15" s="31" t="s">
        <v>375</v>
      </c>
      <c r="K15" s="31" t="s">
        <v>383</v>
      </c>
    </row>
    <row r="16" spans="1:12" ht="33" x14ac:dyDescent="0.25">
      <c r="A16" s="42">
        <v>9</v>
      </c>
      <c r="B16" s="43">
        <v>46217</v>
      </c>
      <c r="C16" s="11" t="s">
        <v>367</v>
      </c>
      <c r="D16" s="11" t="s">
        <v>384</v>
      </c>
      <c r="E16" s="11" t="s">
        <v>385</v>
      </c>
      <c r="F16" s="6" t="s">
        <v>386</v>
      </c>
      <c r="G16" s="44" t="s">
        <v>100</v>
      </c>
      <c r="H16" s="43">
        <v>46217</v>
      </c>
      <c r="I16" s="43"/>
      <c r="J16" s="11" t="s">
        <v>387</v>
      </c>
      <c r="K16" s="11" t="s">
        <v>388</v>
      </c>
    </row>
    <row r="17" spans="1:11" ht="33" x14ac:dyDescent="0.25">
      <c r="A17" s="42">
        <v>10</v>
      </c>
      <c r="B17" s="43">
        <v>46218</v>
      </c>
      <c r="C17" s="11" t="s">
        <v>357</v>
      </c>
      <c r="D17" s="11" t="s">
        <v>389</v>
      </c>
      <c r="E17" s="11" t="s">
        <v>390</v>
      </c>
      <c r="F17" s="6" t="s">
        <v>391</v>
      </c>
      <c r="G17" s="11" t="s">
        <v>100</v>
      </c>
      <c r="H17" s="43">
        <v>46218</v>
      </c>
      <c r="I17" s="43">
        <v>46218</v>
      </c>
      <c r="J17" s="11" t="s">
        <v>119</v>
      </c>
      <c r="K17" s="11" t="s">
        <v>392</v>
      </c>
    </row>
    <row r="18" spans="1:11" ht="33" x14ac:dyDescent="0.25">
      <c r="A18" s="42">
        <v>11</v>
      </c>
      <c r="B18" s="43">
        <v>46218</v>
      </c>
      <c r="C18" s="11" t="s">
        <v>367</v>
      </c>
      <c r="D18" s="11" t="s">
        <v>393</v>
      </c>
      <c r="E18" s="11" t="s">
        <v>394</v>
      </c>
      <c r="F18" s="6" t="s">
        <v>395</v>
      </c>
      <c r="G18" s="11" t="s">
        <v>100</v>
      </c>
      <c r="H18" s="43">
        <v>46218</v>
      </c>
      <c r="I18" s="43"/>
      <c r="J18" s="11" t="s">
        <v>387</v>
      </c>
      <c r="K18" s="11" t="s">
        <v>388</v>
      </c>
    </row>
    <row r="19" spans="1:11" ht="33" x14ac:dyDescent="0.25">
      <c r="A19" s="42">
        <v>12</v>
      </c>
      <c r="B19" s="43">
        <v>46219</v>
      </c>
      <c r="C19" s="11" t="s">
        <v>367</v>
      </c>
      <c r="D19" s="11" t="s">
        <v>396</v>
      </c>
      <c r="E19" s="11" t="s">
        <v>397</v>
      </c>
      <c r="F19" s="47" t="s">
        <v>398</v>
      </c>
      <c r="G19" s="11" t="s">
        <v>100</v>
      </c>
      <c r="H19" s="43">
        <v>46219</v>
      </c>
      <c r="I19" s="43"/>
      <c r="J19" s="11" t="s">
        <v>387</v>
      </c>
      <c r="K19" s="6" t="s">
        <v>388</v>
      </c>
    </row>
    <row r="20" spans="1:11" ht="33" x14ac:dyDescent="0.25">
      <c r="A20" s="11">
        <v>13</v>
      </c>
      <c r="B20" s="43">
        <v>46219</v>
      </c>
      <c r="C20" s="11" t="s">
        <v>357</v>
      </c>
      <c r="D20" s="11" t="s">
        <v>399</v>
      </c>
      <c r="E20" s="11" t="s">
        <v>400</v>
      </c>
      <c r="F20" s="6" t="s">
        <v>401</v>
      </c>
      <c r="G20" s="11" t="s">
        <v>100</v>
      </c>
      <c r="H20" s="43">
        <v>46219</v>
      </c>
      <c r="I20" s="43">
        <v>46220</v>
      </c>
      <c r="J20" s="11" t="s">
        <v>124</v>
      </c>
      <c r="K20" s="11" t="s">
        <v>402</v>
      </c>
    </row>
    <row r="21" spans="1:11" ht="33" x14ac:dyDescent="0.25">
      <c r="A21" s="11">
        <v>14</v>
      </c>
      <c r="B21" s="43">
        <v>46220</v>
      </c>
      <c r="C21" s="11" t="s">
        <v>403</v>
      </c>
      <c r="D21" s="11" t="s">
        <v>399</v>
      </c>
      <c r="E21" s="11" t="s">
        <v>404</v>
      </c>
      <c r="F21" s="47" t="s">
        <v>405</v>
      </c>
      <c r="G21" s="11" t="s">
        <v>100</v>
      </c>
      <c r="H21" s="43">
        <v>46220</v>
      </c>
      <c r="I21" s="43"/>
      <c r="J21" s="6" t="s">
        <v>406</v>
      </c>
      <c r="K21" s="6" t="s">
        <v>407</v>
      </c>
    </row>
    <row r="22" spans="1:11" ht="33" x14ac:dyDescent="0.25">
      <c r="A22" s="11">
        <v>15</v>
      </c>
      <c r="B22" s="43">
        <v>46220</v>
      </c>
      <c r="C22" s="11" t="s">
        <v>357</v>
      </c>
      <c r="D22" s="11" t="s">
        <v>408</v>
      </c>
      <c r="E22" s="11" t="s">
        <v>409</v>
      </c>
      <c r="F22" s="47" t="s">
        <v>410</v>
      </c>
      <c r="G22" s="11" t="s">
        <v>100</v>
      </c>
      <c r="H22" s="43">
        <v>46220</v>
      </c>
      <c r="I22" s="43"/>
      <c r="J22" s="6" t="s">
        <v>103</v>
      </c>
      <c r="K22" s="6" t="s">
        <v>134</v>
      </c>
    </row>
    <row r="23" spans="1:11" ht="33" x14ac:dyDescent="0.25">
      <c r="A23" s="11">
        <v>16</v>
      </c>
      <c r="B23" s="43">
        <v>46220</v>
      </c>
      <c r="C23" s="11" t="s">
        <v>411</v>
      </c>
      <c r="D23" s="11" t="s">
        <v>412</v>
      </c>
      <c r="E23" s="11" t="s">
        <v>413</v>
      </c>
      <c r="F23" s="47" t="s">
        <v>414</v>
      </c>
      <c r="G23" s="11" t="s">
        <v>100</v>
      </c>
      <c r="H23" s="43">
        <v>46220</v>
      </c>
      <c r="I23" s="43"/>
      <c r="J23" s="6" t="s">
        <v>415</v>
      </c>
      <c r="K23" s="6" t="s">
        <v>9</v>
      </c>
    </row>
    <row r="24" spans="1:11" x14ac:dyDescent="0.25">
      <c r="A24" s="11"/>
      <c r="B24" s="43"/>
      <c r="C24" s="11"/>
      <c r="D24" s="11"/>
      <c r="E24" s="11"/>
      <c r="F24" s="47"/>
      <c r="G24" s="11"/>
      <c r="H24" s="43"/>
      <c r="I24" s="48"/>
      <c r="J24" s="6"/>
      <c r="K24" s="11"/>
    </row>
    <row r="25" spans="1:11" x14ac:dyDescent="0.25">
      <c r="A25" s="11"/>
      <c r="B25" s="43"/>
      <c r="C25" s="11"/>
      <c r="D25" s="11"/>
      <c r="E25" s="11"/>
      <c r="F25" s="6"/>
      <c r="G25" s="11"/>
      <c r="H25" s="43"/>
      <c r="I25" s="45"/>
      <c r="J25" s="11"/>
      <c r="K25" s="11"/>
    </row>
    <row r="26" spans="1:11" x14ac:dyDescent="0.25">
      <c r="A26" s="11"/>
      <c r="B26" s="43"/>
      <c r="C26" s="11"/>
      <c r="D26" s="11"/>
      <c r="E26" s="11"/>
      <c r="F26" s="6"/>
      <c r="G26" s="11"/>
      <c r="H26" s="43"/>
      <c r="I26" s="46"/>
      <c r="J26" s="45"/>
      <c r="K26" s="11"/>
    </row>
    <row r="27" spans="1:11" x14ac:dyDescent="0.25">
      <c r="A27" s="11"/>
      <c r="B27" s="43"/>
      <c r="C27" s="11"/>
      <c r="D27" s="11"/>
      <c r="E27" s="11"/>
      <c r="G27" s="11"/>
      <c r="H27" s="43"/>
      <c r="I27" s="46"/>
      <c r="J27" s="11"/>
      <c r="K27" s="11"/>
    </row>
    <row r="28" spans="1:11" x14ac:dyDescent="0.25">
      <c r="A28" s="11"/>
      <c r="B28" s="43"/>
      <c r="C28" s="11"/>
      <c r="D28" s="11"/>
      <c r="E28" s="11"/>
      <c r="F28" s="6"/>
      <c r="G28" s="11"/>
      <c r="H28" s="43"/>
      <c r="I28" s="46"/>
      <c r="J28" s="11"/>
      <c r="K28" s="11"/>
    </row>
    <row r="29" spans="1:11" x14ac:dyDescent="0.25">
      <c r="A29" s="11"/>
      <c r="B29" s="43"/>
      <c r="C29" s="11"/>
      <c r="D29" s="11"/>
      <c r="E29" s="11"/>
      <c r="F29" s="6"/>
      <c r="G29" s="11"/>
      <c r="H29" s="43"/>
      <c r="I29" s="45"/>
      <c r="J29" s="11"/>
      <c r="K29" s="11"/>
    </row>
  </sheetData>
  <mergeCells count="1">
    <mergeCell ref="A1:K1"/>
  </mergeCells>
  <conditionalFormatting sqref="G8:G23">
    <cfRule type="expression" dxfId="13" priority="13">
      <formula>G8="Completed"</formula>
    </cfRule>
  </conditionalFormatting>
  <conditionalFormatting sqref="G13:G29">
    <cfRule type="containsText" dxfId="12" priority="1" operator="containsText" text="Dropped">
      <formula>NOT(ISERROR(SEARCH(("Dropped"),(G13))))</formula>
    </cfRule>
    <cfRule type="containsText" dxfId="11" priority="2" operator="containsText" text="Delay &gt; 1 week">
      <formula>NOT(ISERROR(SEARCH(("Delay &gt; 1 week"),(G13))))</formula>
    </cfRule>
    <cfRule type="containsText" dxfId="10" priority="3" operator="containsText" text="Delay &lt; 1 week">
      <formula>NOT(ISERROR(SEARCH(("Delay &lt; 1 week"),(G13))))</formula>
    </cfRule>
    <cfRule type="containsText" dxfId="9" priority="4" operator="containsText" text="Completed">
      <formula>NOT(ISERROR(SEARCH(("Completed"),(G13))))</formula>
    </cfRule>
    <cfRule type="containsText" dxfId="8" priority="5" operator="containsText" text="In Progress">
      <formula>NOT(ISERROR(SEARCH(("In Progress"),(G13))))</formula>
    </cfRule>
    <cfRule type="containsText" dxfId="7" priority="6" operator="containsText" text="Not Start">
      <formula>NOT(ISERROR(SEARCH(("Not Start"),(G13))))</formula>
    </cfRule>
  </conditionalFormatting>
  <conditionalFormatting sqref="G16:G29">
    <cfRule type="cellIs" dxfId="6" priority="7" operator="equal">
      <formula>#REF!</formula>
    </cfRule>
    <cfRule type="cellIs" dxfId="5" priority="8" operator="equal">
      <formula>$J$8</formula>
    </cfRule>
    <cfRule type="cellIs" dxfId="4" priority="9" operator="equal">
      <formula>$J$7</formula>
    </cfRule>
    <cfRule type="cellIs" dxfId="3" priority="10" operator="equal">
      <formula>$J$6</formula>
    </cfRule>
    <cfRule type="cellIs" dxfId="2" priority="11" operator="equal">
      <formula>$J$5</formula>
    </cfRule>
    <cfRule type="cellIs" dxfId="1" priority="12" operator="equal">
      <formula>$J$4</formula>
    </cfRule>
  </conditionalFormatting>
  <conditionalFormatting sqref="I8:I23">
    <cfRule type="expression" dxfId="0" priority="14">
      <formula>I8&lt;&gt;""</formula>
    </cfRule>
  </conditionalFormatting>
  <dataValidations count="1">
    <dataValidation type="list" allowBlank="1" showErrorMessage="1" sqref="G17:G29" xr:uid="{00000000-0002-0000-0600-000000000000}">
      <formula1>'7. Cập nhật tiến độ'!ATS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Roadmap</vt:lpstr>
      <vt:lpstr>1. Project Charter</vt:lpstr>
      <vt:lpstr>2. Summary Plan</vt:lpstr>
      <vt:lpstr>2. Price</vt:lpstr>
      <vt:lpstr>3. Master Plan</vt:lpstr>
      <vt:lpstr>4. Nhân sự dự án</vt:lpstr>
      <vt:lpstr>7. Cập nhật 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Anh Do</cp:lastModifiedBy>
  <dcterms:modified xsi:type="dcterms:W3CDTF">2026-07-14T15:37:46Z</dcterms:modified>
</cp:coreProperties>
</file>